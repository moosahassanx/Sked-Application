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kplumridge\AppData\Local\Microsoft\Windows\INetCache\Content.Outlook\B0I2HK05\"/>
    </mc:Choice>
  </mc:AlternateContent>
  <bookViews>
    <workbookView xWindow="0" yWindow="0" windowWidth="28800" windowHeight="12435"/>
  </bookViews>
  <sheets>
    <sheet name="Sept 22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_123Graph_A" hidden="1">[1]A!$AH$204:$AH$215</definedName>
    <definedName name="__123Graph_AFR1" hidden="1">[1]A!$BG$18:$BG$30</definedName>
    <definedName name="__123Graph_AFROTH" hidden="1">[1]A!$AH$204:$AH$215</definedName>
    <definedName name="__123Graph_BFR2" hidden="1">[1]A!$BG$45:$BG$57</definedName>
    <definedName name="__123Graph_CFR3" hidden="1">[1]A!$BG$70:$BG$82</definedName>
    <definedName name="__123Graph_X" hidden="1">[1]A!$AI$204:$AI$215</definedName>
    <definedName name="__123Graph_XFR1" hidden="1">[1]A!$BC$18:$BC$30</definedName>
    <definedName name="__123Graph_XFR2" hidden="1">[1]A!$BC$18:$BC$30</definedName>
    <definedName name="__123Graph_XFR3" hidden="1">[1]A!$BC$18:$BC$30</definedName>
    <definedName name="__123Graph_XFROTH" hidden="1">[1]A!$AI$204:$AI$215</definedName>
    <definedName name="_1__123Graph_A__12.5MM" hidden="1">[2]A!$BG$18:$BG$29</definedName>
    <definedName name="_2__123Graph_A__12.5MM" hidden="1">[3]A!$BG$18:$BG$29</definedName>
    <definedName name="_2__123Graph_A_12.5MM___0.5WW" hidden="1">[2]A!$BG$45:$BG$56</definedName>
    <definedName name="_3__123Graph_A_12.5MM___0.5WW" hidden="1">[3]A!$BG$45:$BG$56</definedName>
    <definedName name="_3__123Graph_X__12.5MM" hidden="1">[2]A!$BC$18:$BC$29</definedName>
    <definedName name="_4__123Graph_X__12.5MM" hidden="1">[3]A!$BC$18:$BC$29</definedName>
    <definedName name="_4__123Graph_X_12.5MM___0.5WW" hidden="1">[2]A!$BC$45:$BC$56</definedName>
    <definedName name="_5__123Graph_X_12.5MM___0.5WW" hidden="1">[3]A!$BC$45:$BC$56</definedName>
    <definedName name="_xlnm._FilterDatabase" hidden="1">#REF!</definedName>
    <definedName name="_Key1" hidden="1">'[4]Data+4mm'!$F$11</definedName>
    <definedName name="_Order1" hidden="1">255</definedName>
    <definedName name="_Regression_Out" hidden="1">'[4]Data+4mm'!$G$38:$K$47</definedName>
    <definedName name="_Regression_X" hidden="1">'[4]Data+4mm'!$F$11:$F$24</definedName>
    <definedName name="_Regression_Y" hidden="1">'[4]Data+4mm'!$G$11:$G$24</definedName>
    <definedName name="_SiO2">#REF!</definedName>
    <definedName name="_SO3">#REF!</definedName>
    <definedName name="_Sort" hidden="1">'[4]Data+4mm'!$F$11:$K$26</definedName>
    <definedName name="_Table1_In1" hidden="1">#REF!</definedName>
    <definedName name="_Table1_Out" hidden="1">#REF!</definedName>
    <definedName name="_TiO2">#REF!</definedName>
    <definedName name="AFTO_Deform">#REF!</definedName>
    <definedName name="AFTO_Flow">#REF!</definedName>
    <definedName name="AFTO_Hemi">#REF!</definedName>
    <definedName name="AFTO_Sphere">#REF!</definedName>
    <definedName name="AFTR_Deform">#REF!</definedName>
    <definedName name="AFTR_Flow">#REF!</definedName>
    <definedName name="AFTR_Hemi">#REF!</definedName>
    <definedName name="AFTR_Sphere">#REF!</definedName>
    <definedName name="AI">#REF!</definedName>
    <definedName name="AI_TM">#REF!</definedName>
    <definedName name="Al2O3">#REF!</definedName>
    <definedName name="Anglo_No">#REF!</definedName>
    <definedName name="Antimony">#REF!</definedName>
    <definedName name="ARD">#REF!</definedName>
    <definedName name="Arsenic">#REF!</definedName>
    <definedName name="Ash">#REF!</definedName>
    <definedName name="AshRange" hidden="1">#REF!</definedName>
    <definedName name="BaO">#REF!</definedName>
    <definedName name="Borehole">#REF!</definedName>
    <definedName name="Boron">#REF!</definedName>
    <definedName name="C_Dioxide">#REF!</definedName>
    <definedName name="Cadmium">#REF!</definedName>
    <definedName name="CaO">#REF!</definedName>
    <definedName name="Carbon">#REF!</definedName>
    <definedName name="Carbonate">#REF!</definedName>
    <definedName name="CCI_SN">#REF!</definedName>
    <definedName name="Chlorine">#REF!</definedName>
    <definedName name="Chromium">#REF!</definedName>
    <definedName name="clean_coal">'[5]CCC DON''T USE'!$B$14:$CK$1954</definedName>
    <definedName name="Clear_Comp_Sheet">#N/A</definedName>
    <definedName name="Client_SN">#REF!</definedName>
    <definedName name="coal">#REF!</definedName>
    <definedName name="Cobalt">#REF!</definedName>
    <definedName name="Code">#REF!</definedName>
    <definedName name="COMBFSDATA">'[5]COMB FS COALDATA'!$A$175:$AP$269</definedName>
    <definedName name="COMBNONCOALFS">'[5]COMB FS NONCOALDATA'!$A$175:$AP$260</definedName>
    <definedName name="Copper">#REF!</definedName>
    <definedName name="Cr2O3">#REF!</definedName>
    <definedName name="CS_Ashes">[6]Washes!#REF!</definedName>
    <definedName name="CSN">#REF!</definedName>
    <definedName name="CuO">#REF!</definedName>
    <definedName name="Cut_mmf">#REF!</definedName>
    <definedName name="Cut_vol">#REF!</definedName>
    <definedName name="Data">[5]Data!$A$8:$FN$5000</definedName>
    <definedName name="Depth_From">#REF!</definedName>
    <definedName name="Depth_To">#REF!</definedName>
    <definedName name="Detr_mmf">#REF!</definedName>
    <definedName name="Detr_vol">#REF!</definedName>
    <definedName name="Dil_IST">#REF!</definedName>
    <definedName name="Dil_MC">#REF!</definedName>
    <definedName name="Dil_MCT">#REF!</definedName>
    <definedName name="Dil_MD">#REF!</definedName>
    <definedName name="Dil_MDT">#REF!</definedName>
    <definedName name="EEE" hidden="1">'[7]Ros-ram-LD00001-002'!$D$23:$D$36</definedName>
    <definedName name="Exinite_mmf">#REF!</definedName>
    <definedName name="Exinite_vol">#REF!</definedName>
    <definedName name="FC">#REF!</definedName>
    <definedName name="Fe2O3">#REF!</definedName>
    <definedName name="Fluorine">#REF!</definedName>
    <definedName name="Free_Silica">#REF!</definedName>
    <definedName name="FSData">#REF!</definedName>
    <definedName name="FSData1">'[8]Washability (2)'!$C$13:$U$420</definedName>
    <definedName name="fsdata2">'[5]NON COAL'!$C$13:$X$166</definedName>
    <definedName name="FSData3">'[8]Washability (4)'!$C$13:$U$216</definedName>
    <definedName name="FSData4">'[8]Washability (5)'!$C$13:$U$216</definedName>
    <definedName name="FSData5">'[8]Washability (6)'!$C$12:$U$216</definedName>
    <definedName name="FSink_36">'[8]Wash36 - Coking Comp'!$C$13:$U$630</definedName>
    <definedName name="Fus_mmf">#REF!</definedName>
    <definedName name="Fus_vol">#REF!</definedName>
    <definedName name="Gies_IST">#REF!</definedName>
    <definedName name="Gies_MF">#REF!</definedName>
    <definedName name="Gies_MFT">#REF!</definedName>
    <definedName name="Gies_SOT">#REF!</definedName>
    <definedName name="GKCT">#REF!</definedName>
    <definedName name="HGI">#REF!</definedName>
    <definedName name="Hydrogen">#REF!</definedName>
    <definedName name="Indet_mmf">#REF!</definedName>
    <definedName name="Indet_vol">#REF!</definedName>
    <definedName name="Inert_mmf">#REF!</definedName>
    <definedName name="Inert_vol">#REF!</definedName>
    <definedName name="INFO">'[5]sample info'!$A$8:$AQ$301</definedName>
    <definedName name="Job_No">#REF!</definedName>
    <definedName name="K2O">#REF!</definedName>
    <definedName name="Lead">#REF!</definedName>
    <definedName name="LimnFFFFRange" hidden="1">#REF!</definedName>
    <definedName name="LimnPPP1Range" hidden="1">#REF!</definedName>
    <definedName name="LimnPPP2Range" hidden="1">#REF!</definedName>
    <definedName name="Macr_mmf">#REF!</definedName>
    <definedName name="Macr_vol">#REF!</definedName>
    <definedName name="Mass">#REF!</definedName>
    <definedName name="Mercury">#REF!</definedName>
    <definedName name="MgO">#REF!</definedName>
    <definedName name="MHC">#REF!</definedName>
    <definedName name="Micr_mmf">#REF!</definedName>
    <definedName name="Micr_vol">#REF!</definedName>
    <definedName name="Minerals_vol">#REF!</definedName>
    <definedName name="Minus">#REF!</definedName>
    <definedName name="Mn3O4">#REF!</definedName>
    <definedName name="Moisture">#REF!</definedName>
    <definedName name="Molybdenum">#REF!</definedName>
    <definedName name="Na2O">#REF!</definedName>
    <definedName name="Nickel">#REF!</definedName>
    <definedName name="Nitrogen">#REF!</definedName>
    <definedName name="No_Points">#REF!</definedName>
    <definedName name="P2O5">#REF!</definedName>
    <definedName name="Petros">#N/A</definedName>
    <definedName name="Phos">#REF!</definedName>
    <definedName name="phosdata">'[9]Phos Data Combined'!$A$1:$Q$359</definedName>
    <definedName name="Plies">#REF!</definedName>
    <definedName name="Plies_II">#N/A</definedName>
    <definedName name="Plus">#REF!</definedName>
    <definedName name="Ply_Procedure">#REF!,#REF!</definedName>
    <definedName name="Print_Comp_Sheet">#N/A</definedName>
    <definedName name="Print_Invoice">#N/A</definedName>
    <definedName name="PWCS" hidden="1">#REF!</definedName>
    <definedName name="RD">#REF!</definedName>
    <definedName name="Recovery">#REF!</definedName>
    <definedName name="Ref_A">#REF!</definedName>
    <definedName name="Ref_AB">#REF!</definedName>
    <definedName name="Ref_B">#REF!</definedName>
    <definedName name="Ref_N">#REF!</definedName>
    <definedName name="Res_mmf">#REF!</definedName>
    <definedName name="Res_vol">#REF!</definedName>
    <definedName name="Sample__No">[6]Data!$C$6:$C$6947</definedName>
    <definedName name="Sample_Cat">#REF!</definedName>
    <definedName name="Sample_List">#REF!</definedName>
    <definedName name="Sample_No">#REF!</definedName>
    <definedName name="SE_cor">#REF!</definedName>
    <definedName name="SE_unc">#REF!</definedName>
    <definedName name="Seam">#REF!</definedName>
    <definedName name="Selenium">#REF!</definedName>
    <definedName name="SF_mmf">#REF!</definedName>
    <definedName name="SF_vol">#REF!</definedName>
    <definedName name="SGRange" hidden="1">#REF!</definedName>
    <definedName name="SizeRange" hidden="1">#REF!</definedName>
    <definedName name="SO">#REF!</definedName>
    <definedName name="SP">#REF!</definedName>
    <definedName name="Spor_mmf">#REF!</definedName>
    <definedName name="Spor_vol">#REF!</definedName>
    <definedName name="SrO">#REF!</definedName>
    <definedName name="SS">#REF!</definedName>
    <definedName name="ST">#REF!</definedName>
    <definedName name="Telo_mmf">#REF!</definedName>
    <definedName name="Telo_vol">#REF!</definedName>
    <definedName name="Thickness">[6]Data!$L$6:$L$6947</definedName>
    <definedName name="V2O5">#REF!</definedName>
    <definedName name="Vanadium">#REF!</definedName>
    <definedName name="Vit_mmf">#REF!</definedName>
    <definedName name="Vit_vol">#REF!</definedName>
    <definedName name="VM">#REF!</definedName>
    <definedName name="Zinc">#REF!</definedName>
    <definedName name="Zn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5" i="1" l="1"/>
  <c r="J60" i="1"/>
  <c r="J64" i="1" s="1"/>
</calcChain>
</file>

<file path=xl/comments1.xml><?xml version="1.0" encoding="utf-8"?>
<comments xmlns="http://schemas.openxmlformats.org/spreadsheetml/2006/main">
  <authors>
    <author>Lilly-Bree HUMBLES</author>
    <author>Kim Plumridge</author>
  </authors>
  <commentList>
    <comment ref="E7" authorId="0" shapeId="0">
      <text>
        <r>
          <rPr>
            <b/>
            <sz val="9"/>
            <color indexed="81"/>
            <rFont val="Tahoma"/>
            <family val="2"/>
          </rPr>
          <t>Lilly-Bree HUMBLES:</t>
        </r>
        <r>
          <rPr>
            <sz val="9"/>
            <color indexed="81"/>
            <rFont val="Tahoma"/>
            <family val="2"/>
          </rPr>
          <t xml:space="preserve">
Collect an extra 150kg Size Sample - Dispatch to SGS for TML</t>
        </r>
      </text>
    </comment>
    <comment ref="E43" authorId="1" shapeId="0">
      <text>
        <r>
          <rPr>
            <b/>
            <sz val="9"/>
            <color indexed="81"/>
            <rFont val="Tahoma"/>
            <family val="2"/>
          </rPr>
          <t>Kim Plumridge:</t>
        </r>
        <r>
          <rPr>
            <sz val="9"/>
            <color indexed="81"/>
            <rFont val="Tahoma"/>
            <family val="2"/>
          </rPr>
          <t xml:space="preserve">
Mitra to observe sampling and receive 3 x 5kg splits</t>
        </r>
      </text>
    </comment>
  </commentList>
</comments>
</file>

<file path=xl/sharedStrings.xml><?xml version="1.0" encoding="utf-8"?>
<sst xmlns="http://schemas.openxmlformats.org/spreadsheetml/2006/main" count="444" uniqueCount="201">
  <si>
    <t>Shipping List</t>
  </si>
  <si>
    <t>MONTH:</t>
  </si>
  <si>
    <t>PORT</t>
  </si>
  <si>
    <t>TONNAGES</t>
  </si>
  <si>
    <t>ACTUAL</t>
  </si>
  <si>
    <t xml:space="preserve">ADDITIONAL </t>
  </si>
  <si>
    <t xml:space="preserve">Zig No. </t>
  </si>
  <si>
    <t>ETL</t>
  </si>
  <si>
    <t>ETC</t>
  </si>
  <si>
    <t>ETL Time</t>
  </si>
  <si>
    <t>VESSEL</t>
  </si>
  <si>
    <t>COAL</t>
  </si>
  <si>
    <t>CLIENT</t>
  </si>
  <si>
    <t>ENDUSER</t>
  </si>
  <si>
    <t>HOLD OF CLEAN</t>
  </si>
  <si>
    <t>TONNES</t>
  </si>
  <si>
    <t>Shpt ID</t>
  </si>
  <si>
    <t>BERTH</t>
  </si>
  <si>
    <t>MIN</t>
  </si>
  <si>
    <t>MAX</t>
  </si>
  <si>
    <t>INFORMATION</t>
  </si>
  <si>
    <t>Draft Done</t>
  </si>
  <si>
    <t>.</t>
  </si>
  <si>
    <t>NE85070071</t>
  </si>
  <si>
    <t>Santa Graciela</t>
  </si>
  <si>
    <t>Cumnock</t>
  </si>
  <si>
    <t>Glencore</t>
  </si>
  <si>
    <t>Kyushu</t>
  </si>
  <si>
    <t>No</t>
  </si>
  <si>
    <t>KCT</t>
  </si>
  <si>
    <t>N/R</t>
  </si>
  <si>
    <t>NE85070106</t>
  </si>
  <si>
    <t>Isuzu Maru</t>
  </si>
  <si>
    <t>IAR Th</t>
  </si>
  <si>
    <t>Idemitsu</t>
  </si>
  <si>
    <t>Jera</t>
  </si>
  <si>
    <t>Yes</t>
  </si>
  <si>
    <t>NCIG</t>
  </si>
  <si>
    <t>NE85070048</t>
  </si>
  <si>
    <t>Corona Power</t>
  </si>
  <si>
    <t>YSSC</t>
  </si>
  <si>
    <t>Yancoal</t>
  </si>
  <si>
    <t>CSC</t>
  </si>
  <si>
    <t>D00054453</t>
  </si>
  <si>
    <t>EXS-YAS-CSC-00054453</t>
  </si>
  <si>
    <t>NE85070105</t>
  </si>
  <si>
    <t>Santa Isabel</t>
  </si>
  <si>
    <t>Mac Th</t>
  </si>
  <si>
    <t>BHP</t>
  </si>
  <si>
    <t>NSC</t>
  </si>
  <si>
    <t>NE85070108</t>
  </si>
  <si>
    <t>Reihou</t>
  </si>
  <si>
    <t>Maules Ck</t>
  </si>
  <si>
    <t>Hunter Marine to Survey</t>
  </si>
  <si>
    <t>Hunter Marine</t>
  </si>
  <si>
    <t>NE85070114</t>
  </si>
  <si>
    <t>Kaiyo</t>
  </si>
  <si>
    <t>MMPM THM</t>
  </si>
  <si>
    <t>MACH Energy</t>
  </si>
  <si>
    <t>N/A</t>
  </si>
  <si>
    <t>NE85070121</t>
  </si>
  <si>
    <t>MMPM STM</t>
  </si>
  <si>
    <t>NE85070158</t>
  </si>
  <si>
    <t>Lowlands Horizon</t>
  </si>
  <si>
    <t>NE85069899</t>
  </si>
  <si>
    <t>Loch Long</t>
  </si>
  <si>
    <t>MLTH HA</t>
  </si>
  <si>
    <t>Sojitz</t>
  </si>
  <si>
    <t>D00061143</t>
  </si>
  <si>
    <t>CCT</t>
  </si>
  <si>
    <t>EXS-MCS-SOJ-00061143</t>
  </si>
  <si>
    <t>NE85070164</t>
  </si>
  <si>
    <t>Sage Sagittarius</t>
  </si>
  <si>
    <t>BB8 Stm</t>
  </si>
  <si>
    <t>Chugoku</t>
  </si>
  <si>
    <t>NE85070183</t>
  </si>
  <si>
    <t>Kambanos</t>
  </si>
  <si>
    <t>BB SS</t>
  </si>
  <si>
    <t>JSW</t>
  </si>
  <si>
    <t>NE85070181</t>
  </si>
  <si>
    <t>La Chambordais</t>
  </si>
  <si>
    <t>Whitehaven Th</t>
  </si>
  <si>
    <t>Whitehaven</t>
  </si>
  <si>
    <t>SLN</t>
  </si>
  <si>
    <t>NE85070171</t>
  </si>
  <si>
    <t>North Fortune</t>
  </si>
  <si>
    <t>Glencore Th</t>
  </si>
  <si>
    <t>Hokuriku</t>
  </si>
  <si>
    <t>NE85070009</t>
  </si>
  <si>
    <t>Corona Brave</t>
  </si>
  <si>
    <t>WKTH</t>
  </si>
  <si>
    <t>Mitsubishi</t>
  </si>
  <si>
    <t>D00041428</t>
  </si>
  <si>
    <t>EXS-WWC-MIJ-00041428</t>
  </si>
  <si>
    <t>NE85070155</t>
  </si>
  <si>
    <t>Golden Crown</t>
  </si>
  <si>
    <t>HVSSC</t>
  </si>
  <si>
    <t>NE85070157</t>
  </si>
  <si>
    <t>Liddell</t>
  </si>
  <si>
    <t>DSC</t>
  </si>
  <si>
    <t>NE85070221</t>
  </si>
  <si>
    <t>Yangtze Navigation</t>
  </si>
  <si>
    <t>TNB</t>
  </si>
  <si>
    <t>NE85070248</t>
  </si>
  <si>
    <t>Energia Centaurus</t>
  </si>
  <si>
    <t>NE85070255</t>
  </si>
  <si>
    <t>Saikai Maru II</t>
  </si>
  <si>
    <t>NA</t>
  </si>
  <si>
    <t>NE85070271</t>
  </si>
  <si>
    <t>Troodos Oak</t>
  </si>
  <si>
    <t>NE85070275</t>
  </si>
  <si>
    <t>Friendship</t>
  </si>
  <si>
    <t>BV China</t>
  </si>
  <si>
    <t>BV to witness loading - C&amp;G to perform Draft Survey</t>
  </si>
  <si>
    <t>ALS to release samples to BV</t>
  </si>
  <si>
    <t>NE85070285</t>
  </si>
  <si>
    <t>Shonai Maru</t>
  </si>
  <si>
    <t>NE85070293</t>
  </si>
  <si>
    <t>Venus Harmony</t>
  </si>
  <si>
    <t>J Power</t>
  </si>
  <si>
    <t>NE85070304</t>
  </si>
  <si>
    <t>Frontier Jacaranda</t>
  </si>
  <si>
    <t>NE85070307</t>
  </si>
  <si>
    <t>NE85070321</t>
  </si>
  <si>
    <t>Majestic Sky</t>
  </si>
  <si>
    <t>Bulga</t>
  </si>
  <si>
    <t>NE85070040</t>
  </si>
  <si>
    <t>CSK Unity</t>
  </si>
  <si>
    <t>South 32</t>
  </si>
  <si>
    <t>Avani</t>
  </si>
  <si>
    <t>N/A see right</t>
  </si>
  <si>
    <t>PKCT</t>
  </si>
  <si>
    <t>C&amp;G to witness loading at Port Kembla and report to BV</t>
  </si>
  <si>
    <t>* No draft survey required - C&amp;G to Witness loading Was Ekaterini</t>
  </si>
  <si>
    <t>NE85069915</t>
  </si>
  <si>
    <t>Buenos Aires</t>
  </si>
  <si>
    <t>D00035501</t>
  </si>
  <si>
    <t>EXS-WWC-MIJ-00035501</t>
  </si>
  <si>
    <t>TTM Harvest</t>
  </si>
  <si>
    <t>Tokuyama</t>
  </si>
  <si>
    <t>Golden Behike</t>
  </si>
  <si>
    <t>MCSS</t>
  </si>
  <si>
    <t>POSCO</t>
  </si>
  <si>
    <t>NE85070113</t>
  </si>
  <si>
    <t>STR CK</t>
  </si>
  <si>
    <t>D00059651</t>
  </si>
  <si>
    <t>EXS-SCM-POS-00059651</t>
  </si>
  <si>
    <t>Asanagi</t>
  </si>
  <si>
    <t>Ototachibana</t>
  </si>
  <si>
    <t>Perseus</t>
  </si>
  <si>
    <t>Peabody</t>
  </si>
  <si>
    <t>Inspectorate</t>
  </si>
  <si>
    <t>Aarna</t>
  </si>
  <si>
    <t>???</t>
  </si>
  <si>
    <t xml:space="preserve">* No draft survey or Witnessing required </t>
  </si>
  <si>
    <t>NE85070318</t>
  </si>
  <si>
    <t>Spirit of Ho-Ping</t>
  </si>
  <si>
    <t>YLAT</t>
  </si>
  <si>
    <t>HPP</t>
  </si>
  <si>
    <t>D00048115</t>
  </si>
  <si>
    <t>EXS-YAS-HPP-00048115</t>
  </si>
  <si>
    <t>NE85070211</t>
  </si>
  <si>
    <t>Yue Dian 85</t>
  </si>
  <si>
    <t>Moolarben</t>
  </si>
  <si>
    <t>D00067396</t>
  </si>
  <si>
    <t>EXS-MCS-SOJ-00067396</t>
  </si>
  <si>
    <t>Kelly</t>
  </si>
  <si>
    <t>Soma Maru</t>
  </si>
  <si>
    <t>Trafistm</t>
  </si>
  <si>
    <t>Trafigura</t>
  </si>
  <si>
    <t>GL La Paz</t>
  </si>
  <si>
    <t>Itochu</t>
  </si>
  <si>
    <t>NE85070205</t>
  </si>
  <si>
    <t>Taihakusan</t>
  </si>
  <si>
    <t>Tohoku</t>
  </si>
  <si>
    <t>D00060409</t>
  </si>
  <si>
    <t>EXS-YAS-TOH-00060409</t>
  </si>
  <si>
    <t>Ocean Dream</t>
  </si>
  <si>
    <t>Kang May</t>
  </si>
  <si>
    <t>IKC</t>
  </si>
  <si>
    <t>Hui Xiu Hai</t>
  </si>
  <si>
    <t>NSU Obelisk</t>
  </si>
  <si>
    <t>DL Ivy</t>
  </si>
  <si>
    <t>Diavolezza</t>
  </si>
  <si>
    <t>Bngala_P</t>
  </si>
  <si>
    <t>Bengalla</t>
  </si>
  <si>
    <t>Taipower</t>
  </si>
  <si>
    <t xml:space="preserve"> * Was Chinook Taipower Vessel</t>
  </si>
  <si>
    <t>NE85070317</t>
  </si>
  <si>
    <t>Copernicus N</t>
  </si>
  <si>
    <t>D00047155</t>
  </si>
  <si>
    <t>EXS-YAS-TPG-00047155</t>
  </si>
  <si>
    <t>*was W-Satr/W- Star - Taipower vessel</t>
  </si>
  <si>
    <t>Cemtex Renaissance</t>
  </si>
  <si>
    <t>Asia Cement</t>
  </si>
  <si>
    <t>Knossos Wave</t>
  </si>
  <si>
    <t>NSU Ambitious</t>
  </si>
  <si>
    <t>Ever Imperial</t>
  </si>
  <si>
    <t>Hokurilku Maru</t>
  </si>
  <si>
    <t>Total for tonnes Sept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</si>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</sst>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;@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sz val="14"/>
      <color theme="1"/>
      <name val="Times New Roman"/>
      <family val="1"/>
    </font>
    <font>
      <sz val="12"/>
      <name val="Times New Roman"/>
      <family val="1"/>
    </font>
    <font>
      <sz val="12"/>
      <name val="Arial"/>
      <family val="2"/>
    </font>
    <font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160">
    <xf numFmtId="0" fontId="0" fillId="0" borderId="0" xfId="0"/>
    <xf numFmtId="0" fontId="2" fillId="0" borderId="0" xfId="1" applyFont="1" applyFill="1"/>
    <xf numFmtId="0" fontId="2" fillId="0" borderId="0" xfId="1" applyFont="1" applyFill="1" applyBorder="1"/>
    <xf numFmtId="0" fontId="3" fillId="0" borderId="0" xfId="1" applyFont="1" applyFill="1" applyBorder="1" applyAlignment="1">
      <alignment horizontal="center"/>
    </xf>
    <xf numFmtId="15" fontId="2" fillId="0" borderId="0" xfId="1" applyNumberFormat="1" applyFont="1" applyFill="1" applyBorder="1"/>
    <xf numFmtId="0" fontId="2" fillId="0" borderId="0" xfId="1" applyNumberFormat="1" applyFont="1" applyFill="1" applyBorder="1"/>
    <xf numFmtId="14" fontId="2" fillId="0" borderId="0" xfId="1" applyNumberFormat="1" applyFont="1" applyFill="1" applyBorder="1"/>
    <xf numFmtId="14" fontId="2" fillId="0" borderId="0" xfId="1" applyNumberFormat="1" applyFont="1" applyFill="1"/>
    <xf numFmtId="0" fontId="1" fillId="0" borderId="0" xfId="1"/>
    <xf numFmtId="0" fontId="3" fillId="0" borderId="0" xfId="1" applyFont="1" applyFill="1" applyAlignment="1">
      <alignment horizontal="center"/>
    </xf>
    <xf numFmtId="17" fontId="3" fillId="0" borderId="0" xfId="1" applyNumberFormat="1" applyFont="1" applyFill="1" applyBorder="1" applyAlignment="1">
      <alignment horizontal="centerContinuous"/>
    </xf>
    <xf numFmtId="0" fontId="4" fillId="0" borderId="0" xfId="1" applyFon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4" fillId="0" borderId="0" xfId="1" applyNumberFormat="1" applyFont="1" applyFill="1" applyBorder="1" applyAlignment="1">
      <alignment horizontal="center"/>
    </xf>
    <xf numFmtId="0" fontId="3" fillId="2" borderId="1" xfId="1" applyFont="1" applyFill="1" applyBorder="1" applyAlignment="1"/>
    <xf numFmtId="0" fontId="3" fillId="0" borderId="1" xfId="1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164" fontId="4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 applyAlignment="1">
      <alignment horizontal="center" vertical="center"/>
    </xf>
    <xf numFmtId="14" fontId="4" fillId="0" borderId="5" xfId="1" applyNumberFormat="1" applyFont="1" applyFill="1" applyBorder="1" applyAlignment="1">
      <alignment horizontal="center" vertical="center"/>
    </xf>
    <xf numFmtId="3" fontId="4" fillId="0" borderId="5" xfId="1" applyNumberFormat="1" applyFont="1" applyFill="1" applyBorder="1" applyAlignment="1">
      <alignment horizontal="center" vertical="center"/>
    </xf>
    <xf numFmtId="0" fontId="4" fillId="0" borderId="5" xfId="1" applyNumberFormat="1" applyFont="1" applyFill="1" applyBorder="1" applyAlignment="1">
      <alignment horizontal="center" vertical="center"/>
    </xf>
    <xf numFmtId="164" fontId="4" fillId="0" borderId="6" xfId="1" applyNumberFormat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164" fontId="4" fillId="0" borderId="7" xfId="1" applyNumberFormat="1" applyFont="1" applyFill="1" applyBorder="1" applyAlignment="1">
      <alignment horizontal="center" vertical="center"/>
    </xf>
    <xf numFmtId="164" fontId="4" fillId="0" borderId="8" xfId="1" applyNumberFormat="1" applyFont="1" applyFill="1" applyBorder="1" applyAlignment="1">
      <alignment horizontal="center" vertical="center"/>
    </xf>
    <xf numFmtId="164" fontId="4" fillId="4" borderId="9" xfId="1" applyNumberFormat="1" applyFont="1" applyFill="1" applyBorder="1" applyAlignment="1">
      <alignment horizontal="center" vertical="center"/>
    </xf>
    <xf numFmtId="20" fontId="4" fillId="4" borderId="9" xfId="1" applyNumberFormat="1" applyFont="1" applyFill="1" applyBorder="1" applyAlignment="1">
      <alignment horizontal="center" vertical="center"/>
    </xf>
    <xf numFmtId="0" fontId="4" fillId="4" borderId="9" xfId="1" applyFont="1" applyFill="1" applyBorder="1" applyAlignment="1">
      <alignment horizontal="center" vertical="center"/>
    </xf>
    <xf numFmtId="14" fontId="4" fillId="4" borderId="9" xfId="1" applyNumberFormat="1" applyFont="1" applyFill="1" applyBorder="1" applyAlignment="1">
      <alignment horizontal="center" vertical="center"/>
    </xf>
    <xf numFmtId="0" fontId="4" fillId="4" borderId="10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/>
    </xf>
    <xf numFmtId="3" fontId="4" fillId="4" borderId="9" xfId="1" applyNumberFormat="1" applyFont="1" applyFill="1" applyBorder="1" applyAlignment="1">
      <alignment horizontal="center" vertical="center"/>
    </xf>
    <xf numFmtId="0" fontId="4" fillId="4" borderId="9" xfId="1" applyNumberFormat="1" applyFont="1" applyFill="1" applyBorder="1" applyAlignment="1">
      <alignment horizontal="center" vertical="center"/>
    </xf>
    <xf numFmtId="1" fontId="4" fillId="4" borderId="10" xfId="1" applyNumberFormat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horizontal="center" vertical="center"/>
    </xf>
    <xf numFmtId="0" fontId="4" fillId="4" borderId="11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left" vertical="center"/>
    </xf>
    <xf numFmtId="0" fontId="2" fillId="0" borderId="0" xfId="1" applyFont="1" applyFill="1" applyAlignment="1">
      <alignment horizontal="left" vertical="center"/>
    </xf>
    <xf numFmtId="0" fontId="1" fillId="0" borderId="0" xfId="1" applyFill="1"/>
    <xf numFmtId="164" fontId="4" fillId="5" borderId="9" xfId="1" applyNumberFormat="1" applyFont="1" applyFill="1" applyBorder="1" applyAlignment="1">
      <alignment horizontal="center" vertical="center"/>
    </xf>
    <xf numFmtId="0" fontId="4" fillId="6" borderId="9" xfId="1" applyNumberFormat="1" applyFont="1" applyFill="1" applyBorder="1" applyAlignment="1">
      <alignment horizontal="center" vertical="center"/>
    </xf>
    <xf numFmtId="1" fontId="4" fillId="4" borderId="13" xfId="1" applyNumberFormat="1" applyFont="1" applyFill="1" applyBorder="1" applyAlignment="1">
      <alignment horizontal="center" vertical="center"/>
    </xf>
    <xf numFmtId="0" fontId="4" fillId="7" borderId="5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vertical="center"/>
    </xf>
    <xf numFmtId="164" fontId="4" fillId="4" borderId="11" xfId="1" applyNumberFormat="1" applyFont="1" applyFill="1" applyBorder="1" applyAlignment="1">
      <alignment horizontal="center" vertical="center"/>
    </xf>
    <xf numFmtId="0" fontId="6" fillId="4" borderId="9" xfId="1" applyFont="1" applyFill="1" applyBorder="1" applyAlignment="1">
      <alignment horizontal="center" vertical="center"/>
    </xf>
    <xf numFmtId="0" fontId="5" fillId="4" borderId="8" xfId="1" applyFont="1" applyFill="1" applyBorder="1" applyAlignment="1">
      <alignment vertical="center"/>
    </xf>
    <xf numFmtId="0" fontId="5" fillId="4" borderId="12" xfId="1" applyFont="1" applyFill="1" applyBorder="1" applyAlignment="1">
      <alignment horizontal="center" vertical="center"/>
    </xf>
    <xf numFmtId="0" fontId="1" fillId="0" borderId="0" xfId="1" applyFont="1" applyFill="1"/>
    <xf numFmtId="164" fontId="4" fillId="8" borderId="9" xfId="1" applyNumberFormat="1" applyFont="1" applyFill="1" applyBorder="1" applyAlignment="1">
      <alignment horizontal="center" vertical="center"/>
    </xf>
    <xf numFmtId="20" fontId="4" fillId="8" borderId="9" xfId="1" applyNumberFormat="1" applyFont="1" applyFill="1" applyBorder="1" applyAlignment="1">
      <alignment horizontal="center" vertical="center"/>
    </xf>
    <xf numFmtId="0" fontId="4" fillId="8" borderId="9" xfId="1" applyFont="1" applyFill="1" applyBorder="1" applyAlignment="1">
      <alignment horizontal="center" vertical="center"/>
    </xf>
    <xf numFmtId="14" fontId="4" fillId="8" borderId="9" xfId="1" applyNumberFormat="1" applyFont="1" applyFill="1" applyBorder="1" applyAlignment="1">
      <alignment horizontal="center" vertical="center"/>
    </xf>
    <xf numFmtId="0" fontId="4" fillId="8" borderId="12" xfId="1" applyFont="1" applyFill="1" applyBorder="1" applyAlignment="1">
      <alignment horizontal="center" vertical="center"/>
    </xf>
    <xf numFmtId="0" fontId="4" fillId="8" borderId="5" xfId="1" applyFont="1" applyFill="1" applyBorder="1" applyAlignment="1">
      <alignment horizontal="center" vertical="center"/>
    </xf>
    <xf numFmtId="3" fontId="4" fillId="8" borderId="9" xfId="1" applyNumberFormat="1" applyFont="1" applyFill="1" applyBorder="1" applyAlignment="1">
      <alignment horizontal="center" vertical="center"/>
    </xf>
    <xf numFmtId="0" fontId="4" fillId="8" borderId="9" xfId="1" applyNumberFormat="1" applyFont="1" applyFill="1" applyBorder="1" applyAlignment="1">
      <alignment horizontal="center" vertical="center"/>
    </xf>
    <xf numFmtId="0" fontId="4" fillId="8" borderId="11" xfId="1" applyNumberFormat="1" applyFont="1" applyFill="1" applyBorder="1" applyAlignment="1">
      <alignment horizontal="center" vertical="center"/>
    </xf>
    <xf numFmtId="0" fontId="2" fillId="8" borderId="0" xfId="1" applyFont="1" applyFill="1" applyBorder="1" applyAlignment="1">
      <alignment horizontal="left" vertical="center"/>
    </xf>
    <xf numFmtId="0" fontId="2" fillId="8" borderId="0" xfId="1" applyFont="1" applyFill="1" applyAlignment="1">
      <alignment horizontal="left" vertical="center"/>
    </xf>
    <xf numFmtId="0" fontId="1" fillId="8" borderId="0" xfId="1" applyFont="1" applyFill="1"/>
    <xf numFmtId="164" fontId="4" fillId="0" borderId="9" xfId="1" applyNumberFormat="1" applyFont="1" applyFill="1" applyBorder="1" applyAlignment="1">
      <alignment horizontal="center" vertical="center"/>
    </xf>
    <xf numFmtId="20" fontId="4" fillId="0" borderId="9" xfId="1" applyNumberFormat="1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14" fontId="4" fillId="0" borderId="9" xfId="1" applyNumberFormat="1" applyFont="1" applyFill="1" applyBorder="1" applyAlignment="1">
      <alignment horizontal="center" vertical="center"/>
    </xf>
    <xf numFmtId="0" fontId="4" fillId="0" borderId="10" xfId="1" applyFont="1" applyFill="1" applyBorder="1" applyAlignment="1">
      <alignment horizontal="center" vertical="center"/>
    </xf>
    <xf numFmtId="3" fontId="4" fillId="0" borderId="9" xfId="1" applyNumberFormat="1" applyFont="1" applyFill="1" applyBorder="1" applyAlignment="1">
      <alignment horizontal="center" vertical="center"/>
    </xf>
    <xf numFmtId="0" fontId="4" fillId="0" borderId="9" xfId="1" applyNumberFormat="1" applyFont="1" applyFill="1" applyBorder="1" applyAlignment="1">
      <alignment horizontal="center" vertical="center"/>
    </xf>
    <xf numFmtId="1" fontId="4" fillId="0" borderId="10" xfId="1" applyNumberFormat="1" applyFont="1" applyFill="1" applyBorder="1" applyAlignment="1">
      <alignment horizontal="center" vertical="center"/>
    </xf>
    <xf numFmtId="0" fontId="4" fillId="0" borderId="11" xfId="1" applyNumberFormat="1" applyFont="1" applyFill="1" applyBorder="1" applyAlignment="1">
      <alignment horizontal="center" vertical="center"/>
    </xf>
    <xf numFmtId="0" fontId="5" fillId="0" borderId="12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1" fontId="4" fillId="0" borderId="5" xfId="1" applyNumberFormat="1" applyFont="1" applyFill="1" applyBorder="1" applyAlignment="1">
      <alignment horizontal="center" vertical="center"/>
    </xf>
    <xf numFmtId="164" fontId="4" fillId="2" borderId="9" xfId="1" applyNumberFormat="1" applyFont="1" applyFill="1" applyBorder="1" applyAlignment="1">
      <alignment horizontal="center" vertical="center"/>
    </xf>
    <xf numFmtId="0" fontId="5" fillId="0" borderId="10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vertical="center"/>
    </xf>
    <xf numFmtId="164" fontId="4" fillId="9" borderId="9" xfId="1" applyNumberFormat="1" applyFont="1" applyFill="1" applyBorder="1" applyAlignment="1">
      <alignment horizontal="center" vertical="center"/>
    </xf>
    <xf numFmtId="20" fontId="4" fillId="9" borderId="9" xfId="1" applyNumberFormat="1" applyFont="1" applyFill="1" applyBorder="1" applyAlignment="1">
      <alignment horizontal="center" vertical="center"/>
    </xf>
    <xf numFmtId="0" fontId="4" fillId="9" borderId="9" xfId="1" applyFont="1" applyFill="1" applyBorder="1" applyAlignment="1">
      <alignment horizontal="center" vertical="center"/>
    </xf>
    <xf numFmtId="14" fontId="4" fillId="9" borderId="9" xfId="1" applyNumberFormat="1" applyFont="1" applyFill="1" applyBorder="1" applyAlignment="1">
      <alignment horizontal="center" vertical="center"/>
    </xf>
    <xf numFmtId="3" fontId="4" fillId="9" borderId="9" xfId="1" applyNumberFormat="1" applyFont="1" applyFill="1" applyBorder="1" applyAlignment="1">
      <alignment horizontal="center" vertical="center"/>
    </xf>
    <xf numFmtId="0" fontId="4" fillId="9" borderId="9" xfId="1" applyNumberFormat="1" applyFont="1" applyFill="1" applyBorder="1" applyAlignment="1">
      <alignment horizontal="center" vertical="center"/>
    </xf>
    <xf numFmtId="0" fontId="2" fillId="9" borderId="0" xfId="1" applyFont="1" applyFill="1" applyAlignment="1">
      <alignment horizontal="left" vertical="center"/>
    </xf>
    <xf numFmtId="0" fontId="1" fillId="9" borderId="0" xfId="1" applyFill="1"/>
    <xf numFmtId="0" fontId="4" fillId="6" borderId="9" xfId="1" applyFont="1" applyFill="1" applyBorder="1" applyAlignment="1">
      <alignment horizontal="center" vertical="center"/>
    </xf>
    <xf numFmtId="0" fontId="5" fillId="7" borderId="12" xfId="1" applyFont="1" applyFill="1" applyBorder="1" applyAlignment="1">
      <alignment horizontal="center" vertical="center"/>
    </xf>
    <xf numFmtId="0" fontId="5" fillId="7" borderId="8" xfId="1" applyFont="1" applyFill="1" applyBorder="1" applyAlignment="1">
      <alignment horizontal="center" vertical="center"/>
    </xf>
    <xf numFmtId="0" fontId="5" fillId="0" borderId="13" xfId="1" applyFont="1" applyFill="1" applyBorder="1" applyAlignment="1">
      <alignment horizontal="center" vertical="center"/>
    </xf>
    <xf numFmtId="0" fontId="4" fillId="0" borderId="13" xfId="1" applyNumberFormat="1" applyFont="1" applyFill="1" applyBorder="1" applyAlignment="1">
      <alignment horizontal="center" vertical="center"/>
    </xf>
    <xf numFmtId="1" fontId="4" fillId="0" borderId="13" xfId="1" applyNumberFormat="1" applyFont="1" applyFill="1" applyBorder="1" applyAlignment="1">
      <alignment horizontal="center" vertical="center"/>
    </xf>
    <xf numFmtId="0" fontId="5" fillId="0" borderId="9" xfId="1" applyFont="1" applyFill="1" applyBorder="1" applyAlignment="1">
      <alignment horizontal="center" vertical="center"/>
    </xf>
    <xf numFmtId="0" fontId="5" fillId="0" borderId="1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vertical="center"/>
    </xf>
    <xf numFmtId="164" fontId="4" fillId="11" borderId="5" xfId="1" applyNumberFormat="1" applyFont="1" applyFill="1" applyBorder="1" applyAlignment="1">
      <alignment horizontal="center" vertical="center"/>
    </xf>
    <xf numFmtId="20" fontId="4" fillId="11" borderId="9" xfId="1" applyNumberFormat="1" applyFont="1" applyFill="1" applyBorder="1" applyAlignment="1">
      <alignment horizontal="center" vertical="center"/>
    </xf>
    <xf numFmtId="0" fontId="4" fillId="11" borderId="9" xfId="1" applyFont="1" applyFill="1" applyBorder="1" applyAlignment="1">
      <alignment horizontal="center" vertical="center"/>
    </xf>
    <xf numFmtId="14" fontId="4" fillId="11" borderId="9" xfId="1" applyNumberFormat="1" applyFont="1" applyFill="1" applyBorder="1" applyAlignment="1">
      <alignment horizontal="center" vertical="center"/>
    </xf>
    <xf numFmtId="0" fontId="4" fillId="11" borderId="10" xfId="1" applyFont="1" applyFill="1" applyBorder="1" applyAlignment="1">
      <alignment horizontal="center" vertical="center"/>
    </xf>
    <xf numFmtId="0" fontId="4" fillId="11" borderId="5" xfId="1" applyFont="1" applyFill="1" applyBorder="1" applyAlignment="1">
      <alignment horizontal="center" vertical="center"/>
    </xf>
    <xf numFmtId="3" fontId="4" fillId="11" borderId="9" xfId="1" applyNumberFormat="1" applyFont="1" applyFill="1" applyBorder="1" applyAlignment="1">
      <alignment horizontal="center" vertical="center"/>
    </xf>
    <xf numFmtId="0" fontId="4" fillId="11" borderId="9" xfId="1" applyNumberFormat="1" applyFont="1" applyFill="1" applyBorder="1" applyAlignment="1">
      <alignment horizontal="center" vertical="center"/>
    </xf>
    <xf numFmtId="164" fontId="4" fillId="11" borderId="9" xfId="1" applyNumberFormat="1" applyFont="1" applyFill="1" applyBorder="1" applyAlignment="1">
      <alignment horizontal="center" vertical="center"/>
    </xf>
    <xf numFmtId="0" fontId="5" fillId="11" borderId="5" xfId="1" applyFont="1" applyFill="1" applyBorder="1" applyAlignment="1">
      <alignment horizontal="center" vertical="center"/>
    </xf>
    <xf numFmtId="0" fontId="5" fillId="11" borderId="8" xfId="1" applyFont="1" applyFill="1" applyBorder="1" applyAlignment="1">
      <alignment horizontal="center" vertical="center"/>
    </xf>
    <xf numFmtId="0" fontId="4" fillId="11" borderId="11" xfId="1" applyNumberFormat="1" applyFont="1" applyFill="1" applyBorder="1" applyAlignment="1">
      <alignment horizontal="center" vertical="center"/>
    </xf>
    <xf numFmtId="0" fontId="5" fillId="11" borderId="10" xfId="1" applyFont="1" applyFill="1" applyBorder="1" applyAlignment="1">
      <alignment horizontal="center" vertical="center"/>
    </xf>
    <xf numFmtId="0" fontId="5" fillId="11" borderId="5" xfId="1" applyFont="1" applyFill="1" applyBorder="1" applyAlignment="1">
      <alignment vertical="center"/>
    </xf>
    <xf numFmtId="0" fontId="2" fillId="12" borderId="15" xfId="1" applyFont="1" applyFill="1" applyBorder="1" applyAlignment="1">
      <alignment horizontal="left" vertical="center"/>
    </xf>
    <xf numFmtId="0" fontId="2" fillId="12" borderId="0" xfId="1" applyFont="1" applyFill="1" applyAlignment="1">
      <alignment horizontal="left" vertical="center"/>
    </xf>
    <xf numFmtId="0" fontId="2" fillId="11" borderId="0" xfId="1" applyFont="1" applyFill="1" applyAlignment="1">
      <alignment horizontal="left" vertical="center"/>
    </xf>
    <xf numFmtId="0" fontId="1" fillId="11" borderId="0" xfId="1" applyFont="1" applyFill="1"/>
    <xf numFmtId="1" fontId="4" fillId="11" borderId="10" xfId="1" applyNumberFormat="1" applyFont="1" applyFill="1" applyBorder="1" applyAlignment="1">
      <alignment horizontal="center" vertical="center"/>
    </xf>
    <xf numFmtId="0" fontId="2" fillId="12" borderId="0" xfId="1" applyFont="1" applyFill="1"/>
    <xf numFmtId="0" fontId="1" fillId="12" borderId="0" xfId="1" applyFill="1"/>
    <xf numFmtId="0" fontId="1" fillId="11" borderId="0" xfId="1" applyFill="1"/>
    <xf numFmtId="164" fontId="7" fillId="0" borderId="1" xfId="1" applyNumberFormat="1" applyFont="1" applyFill="1" applyBorder="1" applyAlignment="1">
      <alignment horizontal="center" vertical="center"/>
    </xf>
    <xf numFmtId="14" fontId="7" fillId="0" borderId="1" xfId="1" applyNumberFormat="1" applyFont="1" applyFill="1" applyBorder="1" applyAlignment="1">
      <alignment horizontal="center" vertical="center"/>
    </xf>
    <xf numFmtId="0" fontId="7" fillId="0" borderId="1" xfId="1" applyFont="1" applyFill="1" applyBorder="1" applyAlignment="1">
      <alignment horizontal="center" vertical="center"/>
    </xf>
    <xf numFmtId="3" fontId="4" fillId="0" borderId="1" xfId="1" applyNumberFormat="1" applyFont="1" applyFill="1" applyBorder="1" applyAlignment="1">
      <alignment horizontal="center" vertical="center"/>
    </xf>
    <xf numFmtId="0" fontId="7" fillId="0" borderId="1" xfId="1" applyNumberFormat="1" applyFont="1" applyFill="1" applyBorder="1" applyAlignment="1">
      <alignment horizontal="center" vertical="center"/>
    </xf>
    <xf numFmtId="0" fontId="4" fillId="0" borderId="1" xfId="1" applyNumberFormat="1" applyFont="1" applyFill="1" applyBorder="1" applyAlignment="1">
      <alignment horizontal="center" vertical="center"/>
    </xf>
    <xf numFmtId="164" fontId="7" fillId="0" borderId="0" xfId="1" applyNumberFormat="1" applyFont="1" applyFill="1" applyBorder="1" applyAlignment="1">
      <alignment horizontal="center" vertical="center"/>
    </xf>
    <xf numFmtId="14" fontId="7" fillId="0" borderId="0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3" fontId="7" fillId="0" borderId="0" xfId="1" applyNumberFormat="1" applyFont="1" applyFill="1" applyBorder="1" applyAlignment="1">
      <alignment horizontal="center" vertical="center"/>
    </xf>
    <xf numFmtId="0" fontId="7" fillId="0" borderId="0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horizontal="center" vertical="center"/>
    </xf>
    <xf numFmtId="0" fontId="8" fillId="0" borderId="0" xfId="1" applyFont="1"/>
    <xf numFmtId="164" fontId="4" fillId="0" borderId="0" xfId="1" applyNumberFormat="1" applyFont="1" applyFill="1" applyBorder="1" applyAlignment="1">
      <alignment vertical="center"/>
    </xf>
    <xf numFmtId="0" fontId="8" fillId="0" borderId="0" xfId="1" applyFont="1" applyFill="1"/>
    <xf numFmtId="0" fontId="8" fillId="0" borderId="0" xfId="1" applyNumberFormat="1" applyFont="1"/>
    <xf numFmtId="0" fontId="8" fillId="0" borderId="0" xfId="1" applyFont="1" applyBorder="1"/>
    <xf numFmtId="0" fontId="8" fillId="0" borderId="0" xfId="1" applyFont="1" applyFill="1" applyBorder="1"/>
    <xf numFmtId="164" fontId="4" fillId="0" borderId="0" xfId="1" applyNumberFormat="1" applyFont="1" applyFill="1" applyBorder="1" applyAlignment="1">
      <alignment horizontal="center" vertical="center"/>
    </xf>
    <xf numFmtId="0" fontId="9" fillId="0" borderId="0" xfId="1" applyFont="1" applyFill="1"/>
    <xf numFmtId="0" fontId="4" fillId="0" borderId="0" xfId="1" applyFont="1" applyFill="1" applyBorder="1" applyAlignment="1">
      <alignment horizontal="center" vertical="center"/>
    </xf>
    <xf numFmtId="0" fontId="8" fillId="0" borderId="0" xfId="1" applyFont="1" applyFill="1" applyAlignment="1"/>
    <xf numFmtId="3" fontId="8" fillId="0" borderId="0" xfId="1" applyNumberFormat="1" applyFont="1"/>
    <xf numFmtId="20" fontId="4" fillId="0" borderId="0" xfId="1" applyNumberFormat="1" applyFont="1" applyFill="1" applyBorder="1" applyAlignment="1">
      <alignment horizontal="center" vertical="center"/>
    </xf>
    <xf numFmtId="14" fontId="4" fillId="0" borderId="0" xfId="1" applyNumberFormat="1" applyFont="1" applyFill="1" applyBorder="1" applyAlignment="1">
      <alignment horizontal="center" vertical="center"/>
    </xf>
    <xf numFmtId="3" fontId="4" fillId="0" borderId="0" xfId="1" applyNumberFormat="1" applyFont="1" applyFill="1" applyBorder="1" applyAlignment="1">
      <alignment horizontal="center" vertical="center"/>
    </xf>
    <xf numFmtId="165" fontId="4" fillId="0" borderId="0" xfId="1" applyNumberFormat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6" borderId="8" xfId="1" applyFont="1" applyFill="1" applyBorder="1" applyAlignment="1">
      <alignment horizontal="center" vertical="center"/>
    </xf>
    <xf numFmtId="0" fontId="5" fillId="7" borderId="12" xfId="1" applyFont="1" applyFill="1" applyBorder="1" applyAlignment="1">
      <alignment horizontal="center" vertical="center"/>
    </xf>
    <xf numFmtId="0" fontId="5" fillId="7" borderId="8" xfId="1" applyFont="1" applyFill="1" applyBorder="1" applyAlignment="1">
      <alignment horizontal="center" vertical="center"/>
    </xf>
    <xf numFmtId="1" fontId="4" fillId="10" borderId="12" xfId="1" applyNumberFormat="1" applyFont="1" applyFill="1" applyBorder="1" applyAlignment="1">
      <alignment horizontal="center" vertical="center"/>
    </xf>
    <xf numFmtId="1" fontId="4" fillId="10" borderId="14" xfId="1" applyNumberFormat="1" applyFont="1" applyFill="1" applyBorder="1" applyAlignment="1">
      <alignment horizontal="center" vertical="center"/>
    </xf>
    <xf numFmtId="1" fontId="4" fillId="10" borderId="8" xfId="1" applyNumberFormat="1" applyFont="1" applyFill="1" applyBorder="1" applyAlignment="1">
      <alignment horizontal="center" vertical="center"/>
    </xf>
    <xf numFmtId="0" fontId="5" fillId="8" borderId="12" xfId="1" applyFont="1" applyFill="1" applyBorder="1" applyAlignment="1">
      <alignment horizontal="center" vertical="center"/>
    </xf>
    <xf numFmtId="0" fontId="5" fillId="8" borderId="14" xfId="1" applyFont="1" applyFill="1" applyBorder="1" applyAlignment="1">
      <alignment horizontal="center" vertical="center"/>
    </xf>
    <xf numFmtId="0" fontId="5" fillId="8" borderId="8" xfId="1" applyFont="1" applyFill="1" applyBorder="1" applyAlignment="1">
      <alignment horizontal="center" vertical="center"/>
    </xf>
    <xf numFmtId="1" fontId="4" fillId="9" borderId="12" xfId="1" applyNumberFormat="1" applyFont="1" applyFill="1" applyBorder="1" applyAlignment="1">
      <alignment horizontal="center" vertical="center"/>
    </xf>
    <xf numFmtId="1" fontId="4" fillId="9" borderId="14" xfId="1" applyNumberFormat="1" applyFont="1" applyFill="1" applyBorder="1" applyAlignment="1">
      <alignment horizontal="center" vertical="center"/>
    </xf>
    <xf numFmtId="1" fontId="4" fillId="9" borderId="8" xfId="1" applyNumberFormat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/>
    </xf>
    <xf numFmtId="0" fontId="3" fillId="0" borderId="3" xfId="1" applyFont="1" applyFill="1" applyBorder="1" applyAlignment="1">
      <alignment horizontal="center"/>
    </xf>
    <xf numFmtId="0" fontId="3" fillId="0" borderId="4" xfId="1" applyFont="1" applyFill="1" applyBorder="1" applyAlignment="1">
      <alignment horizontal="center"/>
    </xf>
  </cellXfs>
  <cellStyles count="2">
    <cellStyle name="Normal" xfId="0" builtinId="0"/>
    <cellStyle name="Normal 13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styles" Target="style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4.xml"/><Relationship Id="rId10" Type="http://schemas.openxmlformats.org/officeDocument/2006/relationships/externalLink" Target="externalLinks/externalLink9.xml"/><Relationship Id="rId4" Type="http://schemas.openxmlformats.org/officeDocument/2006/relationships/externalLink" Target="externalLinks/externalLink3.xml"/><Relationship Id="rId9" Type="http://schemas.openxmlformats.org/officeDocument/2006/relationships/externalLink" Target="externalLinks/externalLink8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ATA\MSOFFICE\EXCEL\W4773C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B\Report%20Formats\mblinkdefaul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Lab%20Admin%20Wol/Project%20%20Bore%20Core%20Samples/Manildra%20folder/Lab%20Admin/W8000/W8900/MB/Report%20Formats/mblink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pmorris\AppData\Local\Temp\Temp1_Master%20Borecore%20Template%20-%20Moatize%202012%20%20xx-7-2012%20V5%20working%20copy.zip\SUPERCEDED\Minerals\Reports\2006\072006\Other\ReportDMC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PLORATION%20OPERATIONS\COAL%20TECHNOLOGY\5.%20BORECORE\a%20QCC%20-%20LD%20CORE\S6_120\1.%20CLEAN%20COAL%20COMPS\85015104%20V2.3%20-%20VALE%20LD%202-2-14%20CLEAN%20COAL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ata\newcastle%20operations\reporting\CLIENTS\a%20QCC\Mozambique\Master%20QCC%20-%20Mozambique%20Slimcore%20S2A_376%20NE061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WHARRI~1\LOCALS~1\Temp\notes2339FE\LD00001-01-02%20instructio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orecore%20Operation%20Templates\GLOUCESTER%20COAL\Master%20BC%20Template%20-%20Gloucester%20Coal%204-9-12%20V1.0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EXPLORATION%20OPERATIONS\COAL%20TECHNOLOGY\5.%20BORECORE\REPORTING%20TEMPLATES\VALE%20LD%20CORE\CURRENT%20TEMPLATE\BV%20Cardiff%20-%20PROJECT%20NO_%20Phos%20In%20Co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"/>
      <sheetName val="Current"/>
      <sheetName val="+ 12.5MM"/>
      <sheetName val="-12.5MM + 0.5WW"/>
      <sheetName val="Module1"/>
      <sheetName val="FR3"/>
    </sheetNames>
    <sheetDataSet>
      <sheetData sheetId="0" refreshError="1">
        <row r="18">
          <cell r="BC18">
            <v>0.78125</v>
          </cell>
          <cell r="BG18">
            <v>5.4</v>
          </cell>
        </row>
        <row r="19">
          <cell r="BC19">
            <v>0.75471698113207542</v>
          </cell>
          <cell r="BG19">
            <v>7.4</v>
          </cell>
        </row>
        <row r="20">
          <cell r="BC20">
            <v>0.7339449541284403</v>
          </cell>
          <cell r="BG20">
            <v>9.1999999999999993</v>
          </cell>
        </row>
        <row r="21">
          <cell r="BC21">
            <v>0.7207207207207208</v>
          </cell>
          <cell r="BG21">
            <v>11.7</v>
          </cell>
        </row>
        <row r="22">
          <cell r="BC22">
            <v>0.70175438596491235</v>
          </cell>
          <cell r="BG22">
            <v>15.7</v>
          </cell>
        </row>
        <row r="23">
          <cell r="BC23">
            <v>0.67796610169491522</v>
          </cell>
          <cell r="BG23">
            <v>22.4</v>
          </cell>
        </row>
        <row r="24">
          <cell r="BC24">
            <v>0.64516129032258063</v>
          </cell>
          <cell r="BG24">
            <v>27.5</v>
          </cell>
        </row>
        <row r="25">
          <cell r="BC25">
            <v>0.60606060606060608</v>
          </cell>
          <cell r="BG25">
            <v>37.200000000000003</v>
          </cell>
        </row>
        <row r="26">
          <cell r="BC26">
            <v>0.5714285714285714</v>
          </cell>
          <cell r="BG26">
            <v>47.2</v>
          </cell>
        </row>
        <row r="27">
          <cell r="BC27">
            <v>0.54054054054054046</v>
          </cell>
          <cell r="BG27">
            <v>59.2</v>
          </cell>
        </row>
        <row r="28">
          <cell r="BC28">
            <v>0.51282051282051289</v>
          </cell>
          <cell r="BG28">
            <v>62.4</v>
          </cell>
        </row>
        <row r="29">
          <cell r="BC29">
            <v>0.48780487804878053</v>
          </cell>
          <cell r="BG29">
            <v>67.8</v>
          </cell>
        </row>
        <row r="30">
          <cell r="BC30">
            <v>0.95238095238095233</v>
          </cell>
          <cell r="BG30">
            <v>67.8</v>
          </cell>
        </row>
        <row r="45">
          <cell r="BG45">
            <v>3</v>
          </cell>
        </row>
        <row r="46">
          <cell r="BG46">
            <v>7.4</v>
          </cell>
        </row>
        <row r="47">
          <cell r="BG47">
            <v>9.5</v>
          </cell>
        </row>
        <row r="48">
          <cell r="BG48">
            <v>11.6</v>
          </cell>
        </row>
        <row r="49">
          <cell r="BG49">
            <v>15.8</v>
          </cell>
        </row>
        <row r="50">
          <cell r="BG50">
            <v>20.9</v>
          </cell>
        </row>
        <row r="51">
          <cell r="BG51">
            <v>27.2</v>
          </cell>
        </row>
        <row r="52">
          <cell r="BG52">
            <v>32.4</v>
          </cell>
        </row>
        <row r="53">
          <cell r="BG53">
            <v>40</v>
          </cell>
        </row>
        <row r="54">
          <cell r="BG54">
            <v>49.8</v>
          </cell>
        </row>
        <row r="55">
          <cell r="BG55">
            <v>55.4</v>
          </cell>
        </row>
        <row r="56">
          <cell r="BG56">
            <v>72.7</v>
          </cell>
        </row>
        <row r="57">
          <cell r="BG57">
            <v>72.7</v>
          </cell>
        </row>
        <row r="70">
          <cell r="BG70">
            <v>6.5</v>
          </cell>
        </row>
        <row r="71">
          <cell r="BG71">
            <v>13.8</v>
          </cell>
        </row>
        <row r="72">
          <cell r="BG72">
            <v>21</v>
          </cell>
        </row>
        <row r="73">
          <cell r="BG73">
            <v>28.2</v>
          </cell>
        </row>
        <row r="74">
          <cell r="BG74">
            <v>45.4</v>
          </cell>
        </row>
        <row r="75">
          <cell r="BG75">
            <v>56</v>
          </cell>
        </row>
        <row r="76">
          <cell r="BG76">
            <v>0</v>
          </cell>
        </row>
        <row r="77">
          <cell r="BG77">
            <v>0</v>
          </cell>
        </row>
        <row r="78">
          <cell r="BG78">
            <v>0</v>
          </cell>
        </row>
        <row r="79">
          <cell r="BG79">
            <v>0</v>
          </cell>
        </row>
        <row r="80">
          <cell r="BG80">
            <v>0</v>
          </cell>
        </row>
        <row r="81">
          <cell r="BG81" t="e">
            <v>#REF!</v>
          </cell>
        </row>
        <row r="82">
          <cell r="BG82" t="e">
            <v>#REF!</v>
          </cell>
        </row>
        <row r="204">
          <cell r="AH204">
            <v>93.5</v>
          </cell>
          <cell r="AI204">
            <v>6.5</v>
          </cell>
        </row>
        <row r="205">
          <cell r="AH205">
            <v>95.3</v>
          </cell>
          <cell r="AI205">
            <v>6.6378803777544597</v>
          </cell>
        </row>
        <row r="206">
          <cell r="AH206">
            <v>96.1</v>
          </cell>
          <cell r="AI206">
            <v>6.7574401664932369</v>
          </cell>
        </row>
        <row r="207">
          <cell r="AH207">
            <v>96.699999999999989</v>
          </cell>
          <cell r="AI207">
            <v>6.8904860392967944</v>
          </cell>
        </row>
        <row r="208">
          <cell r="AH208">
            <v>97.199999999999989</v>
          </cell>
          <cell r="AI208">
            <v>7.0885802469135806</v>
          </cell>
        </row>
        <row r="209">
          <cell r="AH209">
            <v>97.499999999999986</v>
          </cell>
          <cell r="AI209">
            <v>7.2390769230769232</v>
          </cell>
        </row>
        <row r="210">
          <cell r="AH210">
            <v>97.499999999999986</v>
          </cell>
          <cell r="AI210">
            <v>7.2390769230769232</v>
          </cell>
        </row>
        <row r="211">
          <cell r="AH211">
            <v>97.499999999999986</v>
          </cell>
          <cell r="AI211">
            <v>7.2390769230769232</v>
          </cell>
        </row>
        <row r="212">
          <cell r="AH212">
            <v>97.499999999999986</v>
          </cell>
          <cell r="AI212">
            <v>7.2390769230769232</v>
          </cell>
        </row>
        <row r="213">
          <cell r="AH213">
            <v>97.499999999999986</v>
          </cell>
          <cell r="AI213">
            <v>7.2390769230769232</v>
          </cell>
        </row>
        <row r="214">
          <cell r="AH214">
            <v>97.499999999999986</v>
          </cell>
          <cell r="AI214">
            <v>7.2390769230769232</v>
          </cell>
        </row>
        <row r="215">
          <cell r="AH215">
            <v>99.999999999999986</v>
          </cell>
          <cell r="AI215">
            <v>8.5856000000000012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linkdefault"/>
      <sheetName val="A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blinkdefault"/>
      <sheetName val="A"/>
    </sheetNames>
    <sheetDataSet>
      <sheetData sheetId="0" refreshError="1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DMC1"/>
      <sheetName val="Data+4mm"/>
      <sheetName val="Data P+4mm"/>
      <sheetName val="Graph_Ash +4mm"/>
      <sheetName val="Data+1.4mm"/>
      <sheetName val="Data P+1.4mm"/>
      <sheetName val="Graph_Ash+1.4mm"/>
      <sheetName val="Data-1.4mm"/>
      <sheetName val="Data P-1.4mm"/>
      <sheetName val="Graph_Ash-1.4mm"/>
      <sheetName val="Standards (4)"/>
    </sheetNames>
    <sheetDataSet>
      <sheetData sheetId="0" refreshError="1"/>
      <sheetData sheetId="1" refreshError="1">
        <row r="11">
          <cell r="H11">
            <v>2.2999999999999998</v>
          </cell>
        </row>
        <row r="12">
          <cell r="H12">
            <v>4.9000000000000004</v>
          </cell>
        </row>
        <row r="13">
          <cell r="H13">
            <v>9.6</v>
          </cell>
        </row>
        <row r="14">
          <cell r="H14">
            <v>15.5</v>
          </cell>
        </row>
        <row r="15">
          <cell r="H15">
            <v>23.5</v>
          </cell>
        </row>
        <row r="16">
          <cell r="H16">
            <v>30.7</v>
          </cell>
        </row>
        <row r="17">
          <cell r="H17">
            <v>36.200000000000003</v>
          </cell>
        </row>
        <row r="18">
          <cell r="H18">
            <v>41.8</v>
          </cell>
        </row>
        <row r="19">
          <cell r="H19">
            <v>46.2</v>
          </cell>
        </row>
        <row r="20">
          <cell r="H20">
            <v>54</v>
          </cell>
        </row>
        <row r="21">
          <cell r="H21">
            <v>72.099999999999994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107165"/>
      <sheetName val="L106905"/>
      <sheetName val="~1461245"/>
      <sheetName val="~6135695"/>
      <sheetName val="L106952"/>
      <sheetName val="L106918"/>
      <sheetName val="L106968"/>
      <sheetName val="L107589"/>
      <sheetName val="L107441"/>
      <sheetName val="L107562"/>
      <sheetName val="L107551"/>
      <sheetName val="L107457"/>
      <sheetName val="L107603"/>
      <sheetName val="L107563"/>
      <sheetName val="Data"/>
      <sheetName val="sample info"/>
      <sheetName val="PREP - FS &amp; Froth"/>
      <sheetName val="COMB FS COALDATA"/>
      <sheetName val="COMB FS NONCOALDATA"/>
      <sheetName val="Front Page"/>
      <sheetName val="COAL"/>
      <sheetName val="NON COAL"/>
      <sheetName val="Washability"/>
      <sheetName val="Clean Coal Comps"/>
      <sheetName val="Composites"/>
      <sheetName val="Seylers Graph"/>
      <sheetName val="CCC DON'T USE"/>
      <sheetName val="PREP - FS "/>
      <sheetName val="NON COAL DON'T USE"/>
      <sheetName val="F-Sink Comp (RAW Coal)"/>
      <sheetName val="Raw Ply Prep "/>
      <sheetName val="F-Sink Prep "/>
      <sheetName val="F-Sink Lab"/>
      <sheetName val="PREP - FS 2"/>
      <sheetName val="PREP - SIZE &amp; FF COMP"/>
      <sheetName val="PREP - Froth"/>
      <sheetName val="PHOS data trans"/>
      <sheetName val="LAB PW AOS, FS, FF"/>
      <sheetName val="SAMPLE DESPATCH AOS, FS, FF"/>
      <sheetName val="Cum CSN COAL"/>
      <sheetName val="Cum CSN FROTH"/>
      <sheetName val="Cum CSN NON COAL"/>
      <sheetName val="Cum CSN Combined"/>
      <sheetName val="LAB PW CCC"/>
      <sheetName val="SAMPLE DESPATCH CCC"/>
      <sheetName val="THERMAL COMP PW(2)"/>
      <sheetName val="COKING COMP PW(2)"/>
      <sheetName val="Raw Ply "/>
      <sheetName val="Raw Coal"/>
      <sheetName val="Wash (slimcore report)"/>
      <sheetName val="COAL (from Riversdale)"/>
      <sheetName val="ABBREV COAL"/>
      <sheetName val="Cover Page"/>
      <sheetName val="Procedures"/>
      <sheetName val="Standards"/>
      <sheetName val="Petro Table - Appendix"/>
      <sheetName val="Methods"/>
      <sheetName val="Sheet1"/>
      <sheetName val="Sheet2"/>
      <sheetName val="Protection"/>
      <sheetName val="LD1_Coal "/>
      <sheetName val="LD 2_Coal"/>
      <sheetName val="Therm_Comp"/>
      <sheetName val="Coke_Comp"/>
      <sheetName val="LD1_Non-Coal"/>
      <sheetName val="LD 2_Non-Coal"/>
      <sheetName val="Change Control"/>
      <sheetName val="Internal Codes"/>
      <sheetName val="Clean Up Instructions"/>
      <sheetName val="Notes"/>
      <sheetName val="Decimal Place Valid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1">
          <cell r="C11">
            <v>85015104</v>
          </cell>
        </row>
        <row r="13">
          <cell r="BG13" t="str">
            <v>AMDEL ASH</v>
          </cell>
        </row>
        <row r="14">
          <cell r="A14" t="str">
            <v>85015104CCC01</v>
          </cell>
          <cell r="B14" t="str">
            <v>CCC01</v>
          </cell>
          <cell r="C14">
            <v>85015104</v>
          </cell>
          <cell r="F14">
            <v>1856900</v>
          </cell>
          <cell r="H14" t="str">
            <v xml:space="preserve">Coking </v>
          </cell>
          <cell r="I14" t="str">
            <v>002-012</v>
          </cell>
          <cell r="J14" t="str">
            <v>BNU1</v>
          </cell>
          <cell r="K14" t="str">
            <v>S6_120</v>
          </cell>
          <cell r="L14" t="str">
            <v>F1.45</v>
          </cell>
          <cell r="S14">
            <v>12.66</v>
          </cell>
          <cell r="T14">
            <v>18.510000000000002</v>
          </cell>
          <cell r="U14">
            <v>5.8500000000000014</v>
          </cell>
          <cell r="V14">
            <v>5.8500000000000014</v>
          </cell>
          <cell r="AL14">
            <v>1.5</v>
          </cell>
          <cell r="AM14">
            <v>12.9</v>
          </cell>
          <cell r="AO14">
            <v>23</v>
          </cell>
          <cell r="AP14">
            <v>1.07</v>
          </cell>
          <cell r="AQ14">
            <v>0.02</v>
          </cell>
          <cell r="AR14">
            <v>0.17</v>
          </cell>
          <cell r="AS14">
            <v>0.88</v>
          </cell>
          <cell r="AT14">
            <v>30.35</v>
          </cell>
          <cell r="AU14">
            <v>7250</v>
          </cell>
          <cell r="AV14" t="str">
            <v>&gt;9</v>
          </cell>
          <cell r="AX14">
            <v>72.3</v>
          </cell>
          <cell r="AY14">
            <v>4.5199999999999996</v>
          </cell>
          <cell r="AZ14">
            <v>1.95</v>
          </cell>
          <cell r="BC14">
            <v>9.9000000000000005E-2</v>
          </cell>
          <cell r="BD14" t="str">
            <v>L107551</v>
          </cell>
          <cell r="BK14">
            <v>390</v>
          </cell>
          <cell r="BL14">
            <v>420</v>
          </cell>
          <cell r="BM14">
            <v>465</v>
          </cell>
          <cell r="BN14">
            <v>26</v>
          </cell>
          <cell r="BO14">
            <v>73</v>
          </cell>
          <cell r="BP14">
            <v>41715</v>
          </cell>
          <cell r="BQ14">
            <v>410</v>
          </cell>
          <cell r="BR14">
            <v>455</v>
          </cell>
          <cell r="BS14">
            <v>425</v>
          </cell>
          <cell r="BT14">
            <v>177</v>
          </cell>
          <cell r="BU14">
            <v>480</v>
          </cell>
          <cell r="BV14">
            <v>41715.88958333333</v>
          </cell>
          <cell r="BW14" t="str">
            <v>G5</v>
          </cell>
          <cell r="BY14">
            <v>71</v>
          </cell>
          <cell r="BZ14">
            <v>77</v>
          </cell>
          <cell r="CI14">
            <v>57.1</v>
          </cell>
          <cell r="CJ14">
            <v>24.9</v>
          </cell>
          <cell r="CK14">
            <v>5.8</v>
          </cell>
          <cell r="CL14">
            <v>2.68</v>
          </cell>
          <cell r="CM14">
            <v>1.01</v>
          </cell>
          <cell r="CN14">
            <v>0.15</v>
          </cell>
          <cell r="CO14">
            <v>2.27</v>
          </cell>
          <cell r="CP14">
            <v>2.41</v>
          </cell>
          <cell r="CQ14">
            <v>0.06</v>
          </cell>
          <cell r="CR14">
            <v>1.69</v>
          </cell>
          <cell r="CS14">
            <v>0.96</v>
          </cell>
          <cell r="CT14">
            <v>0.12</v>
          </cell>
          <cell r="CU14">
            <v>0.24</v>
          </cell>
          <cell r="CV14">
            <v>0.05</v>
          </cell>
          <cell r="CW14">
            <v>0.1</v>
          </cell>
          <cell r="DA14" t="str">
            <v>L107563</v>
          </cell>
          <cell r="DB14" t="str">
            <v>BV Minerals (Amdel)</v>
          </cell>
          <cell r="EU14" t="str">
            <v>C</v>
          </cell>
          <cell r="EV14" t="str">
            <v>F1.45</v>
          </cell>
          <cell r="EW14">
            <v>13.5</v>
          </cell>
          <cell r="FA14">
            <v>0.9</v>
          </cell>
          <cell r="FB14">
            <v>12.9</v>
          </cell>
          <cell r="FC14">
            <v>23.8</v>
          </cell>
          <cell r="FD14">
            <v>1.1399999999999999</v>
          </cell>
          <cell r="FE14">
            <v>9.9000000000000005E-2</v>
          </cell>
          <cell r="FI14" t="str">
            <v>Calorific Value and Carbon checked</v>
          </cell>
          <cell r="FJ14">
            <v>76.7</v>
          </cell>
          <cell r="FK14">
            <v>39.4</v>
          </cell>
          <cell r="FL14">
            <v>30.4</v>
          </cell>
          <cell r="FM14">
            <v>79</v>
          </cell>
          <cell r="FN14">
            <v>12</v>
          </cell>
        </row>
        <row r="15">
          <cell r="A15" t="str">
            <v>85015104CCC02</v>
          </cell>
          <cell r="B15" t="str">
            <v>CCC02</v>
          </cell>
          <cell r="C15">
            <v>85015104</v>
          </cell>
          <cell r="F15">
            <v>1856901</v>
          </cell>
          <cell r="I15" t="str">
            <v>013-029</v>
          </cell>
          <cell r="J15" t="str">
            <v>BNU2</v>
          </cell>
          <cell r="K15" t="str">
            <v>S6_120</v>
          </cell>
          <cell r="L15" t="str">
            <v>F1.45</v>
          </cell>
          <cell r="S15">
            <v>18.510000000000002</v>
          </cell>
          <cell r="T15">
            <v>27.38</v>
          </cell>
          <cell r="U15">
            <v>8.8699999999999974</v>
          </cell>
          <cell r="V15">
            <v>8.8699999999999974</v>
          </cell>
          <cell r="AL15">
            <v>1.4</v>
          </cell>
          <cell r="AM15">
            <v>11</v>
          </cell>
          <cell r="AO15">
            <v>22.7</v>
          </cell>
          <cell r="AP15">
            <v>0.98</v>
          </cell>
          <cell r="AQ15">
            <v>0.02</v>
          </cell>
          <cell r="AR15">
            <v>0.19</v>
          </cell>
          <cell r="AS15">
            <v>0.77</v>
          </cell>
          <cell r="AT15">
            <v>31.33</v>
          </cell>
          <cell r="AU15">
            <v>7483</v>
          </cell>
          <cell r="AV15" t="str">
            <v>&gt;9</v>
          </cell>
          <cell r="AX15">
            <v>74.7</v>
          </cell>
          <cell r="AY15">
            <v>4.53</v>
          </cell>
          <cell r="AZ15">
            <v>1.97</v>
          </cell>
          <cell r="BC15">
            <v>9.5000000000000001E-2</v>
          </cell>
          <cell r="BD15" t="str">
            <v>L107457</v>
          </cell>
          <cell r="BK15">
            <v>390</v>
          </cell>
          <cell r="BL15">
            <v>420</v>
          </cell>
          <cell r="BM15">
            <v>465</v>
          </cell>
          <cell r="BN15">
            <v>26</v>
          </cell>
          <cell r="BO15">
            <v>76</v>
          </cell>
          <cell r="BP15">
            <v>41704</v>
          </cell>
          <cell r="BQ15">
            <v>420</v>
          </cell>
          <cell r="BR15">
            <v>455</v>
          </cell>
          <cell r="BS15">
            <v>435</v>
          </cell>
          <cell r="BT15">
            <v>90</v>
          </cell>
          <cell r="BU15">
            <v>485</v>
          </cell>
          <cell r="BV15">
            <v>41705.365972222222</v>
          </cell>
          <cell r="BW15" t="str">
            <v>G4</v>
          </cell>
          <cell r="BY15">
            <v>65</v>
          </cell>
          <cell r="BZ15">
            <v>79</v>
          </cell>
          <cell r="CI15">
            <v>56.2</v>
          </cell>
          <cell r="CJ15">
            <v>25.3</v>
          </cell>
          <cell r="CK15">
            <v>4.18</v>
          </cell>
          <cell r="CL15">
            <v>4</v>
          </cell>
          <cell r="CM15">
            <v>0.85</v>
          </cell>
          <cell r="CN15">
            <v>0.17</v>
          </cell>
          <cell r="CO15">
            <v>1.96</v>
          </cell>
          <cell r="CP15">
            <v>2.0699999999999998</v>
          </cell>
          <cell r="CQ15">
            <v>0.06</v>
          </cell>
          <cell r="CR15">
            <v>1.91</v>
          </cell>
          <cell r="CS15">
            <v>1.92</v>
          </cell>
          <cell r="CT15">
            <v>0.22</v>
          </cell>
          <cell r="CU15">
            <v>0.24</v>
          </cell>
          <cell r="CV15">
            <v>0.03</v>
          </cell>
          <cell r="CW15">
            <v>7.0000000000000007E-2</v>
          </cell>
          <cell r="DA15" t="str">
            <v>L107441</v>
          </cell>
          <cell r="DB15" t="str">
            <v>BV Minerals (Amdel)</v>
          </cell>
          <cell r="EU15" t="str">
            <v>C</v>
          </cell>
          <cell r="EV15" t="str">
            <v>F1.45</v>
          </cell>
          <cell r="EW15">
            <v>39.5</v>
          </cell>
          <cell r="FA15">
            <v>0.9</v>
          </cell>
          <cell r="FB15">
            <v>11.1</v>
          </cell>
          <cell r="FC15">
            <v>22.8</v>
          </cell>
          <cell r="FD15">
            <v>0.67</v>
          </cell>
          <cell r="FE15">
            <v>9.6000000000000002E-2</v>
          </cell>
          <cell r="FI15" t="str">
            <v>Calorific Value and Carbon checked</v>
          </cell>
          <cell r="FJ15">
            <v>76.900000000000006</v>
          </cell>
          <cell r="FK15">
            <v>34</v>
          </cell>
          <cell r="FL15">
            <v>44.6</v>
          </cell>
          <cell r="FM15">
            <v>80.3</v>
          </cell>
          <cell r="FN15">
            <v>13.5</v>
          </cell>
        </row>
        <row r="16">
          <cell r="A16" t="str">
            <v>85015104CCC03</v>
          </cell>
          <cell r="B16" t="str">
            <v>CCC03</v>
          </cell>
          <cell r="C16">
            <v>85015104</v>
          </cell>
          <cell r="F16">
            <v>1856902</v>
          </cell>
          <cell r="I16" t="str">
            <v>032-038</v>
          </cell>
          <cell r="J16" t="str">
            <v>BNL1</v>
          </cell>
          <cell r="K16" t="str">
            <v>S6_120</v>
          </cell>
          <cell r="L16" t="str">
            <v>F1.45</v>
          </cell>
          <cell r="S16">
            <v>75.59</v>
          </cell>
          <cell r="T16">
            <v>79.83</v>
          </cell>
          <cell r="U16">
            <v>4.21</v>
          </cell>
          <cell r="V16">
            <v>4.24</v>
          </cell>
          <cell r="AL16">
            <v>1.3</v>
          </cell>
          <cell r="AM16">
            <v>12.5</v>
          </cell>
          <cell r="AO16">
            <v>21.7</v>
          </cell>
          <cell r="AP16">
            <v>0.98</v>
          </cell>
          <cell r="AQ16" t="str">
            <v>&lt;0.01</v>
          </cell>
          <cell r="AR16">
            <v>0.1</v>
          </cell>
          <cell r="AS16">
            <v>0.88</v>
          </cell>
          <cell r="AT16">
            <v>30.77</v>
          </cell>
          <cell r="AU16">
            <v>7350</v>
          </cell>
          <cell r="AV16" t="str">
            <v>&gt;9</v>
          </cell>
          <cell r="AX16">
            <v>73.599999999999994</v>
          </cell>
          <cell r="AY16">
            <v>4.51</v>
          </cell>
          <cell r="AZ16">
            <v>1.83</v>
          </cell>
          <cell r="BC16">
            <v>0.11600000000000001</v>
          </cell>
          <cell r="BD16" t="str">
            <v>L107551</v>
          </cell>
          <cell r="BK16">
            <v>390</v>
          </cell>
          <cell r="BL16">
            <v>415</v>
          </cell>
          <cell r="BM16">
            <v>460</v>
          </cell>
          <cell r="BN16">
            <v>24</v>
          </cell>
          <cell r="BO16">
            <v>82</v>
          </cell>
          <cell r="BP16">
            <v>41716</v>
          </cell>
          <cell r="BQ16">
            <v>420</v>
          </cell>
          <cell r="BR16">
            <v>460</v>
          </cell>
          <cell r="BS16">
            <v>435</v>
          </cell>
          <cell r="BT16">
            <v>155</v>
          </cell>
          <cell r="BU16">
            <v>490</v>
          </cell>
          <cell r="BV16">
            <v>41712.892361111109</v>
          </cell>
          <cell r="BW16" t="str">
            <v>G5</v>
          </cell>
          <cell r="BY16">
            <v>71</v>
          </cell>
          <cell r="BZ16">
            <v>79</v>
          </cell>
          <cell r="CI16">
            <v>58.3</v>
          </cell>
          <cell r="CJ16">
            <v>24.8</v>
          </cell>
          <cell r="CK16">
            <v>4.1500000000000004</v>
          </cell>
          <cell r="CL16">
            <v>2.08</v>
          </cell>
          <cell r="CM16">
            <v>0.86</v>
          </cell>
          <cell r="CN16">
            <v>0.12</v>
          </cell>
          <cell r="CO16">
            <v>2.63</v>
          </cell>
          <cell r="CP16">
            <v>2.73</v>
          </cell>
          <cell r="CQ16">
            <v>0.04</v>
          </cell>
          <cell r="CR16">
            <v>2.08</v>
          </cell>
          <cell r="CS16">
            <v>0.62</v>
          </cell>
          <cell r="CT16">
            <v>0.19</v>
          </cell>
          <cell r="CU16">
            <v>0.55000000000000004</v>
          </cell>
          <cell r="CV16">
            <v>0.06</v>
          </cell>
          <cell r="CW16">
            <v>0.16</v>
          </cell>
          <cell r="DA16" t="str">
            <v>L107562</v>
          </cell>
          <cell r="DB16" t="str">
            <v>BV Minerals (Amdel)</v>
          </cell>
          <cell r="EU16" t="str">
            <v>C</v>
          </cell>
          <cell r="EV16" t="str">
            <v>F1.45</v>
          </cell>
          <cell r="EW16">
            <v>14.6</v>
          </cell>
          <cell r="FA16">
            <v>0.7</v>
          </cell>
          <cell r="FB16">
            <v>12.7</v>
          </cell>
          <cell r="FC16">
            <v>22.4</v>
          </cell>
          <cell r="FD16">
            <v>1.03</v>
          </cell>
          <cell r="FE16">
            <v>0.125</v>
          </cell>
          <cell r="FI16" t="str">
            <v>Calorific Value and Carbon checked</v>
          </cell>
          <cell r="FJ16">
            <v>78.599999999999994</v>
          </cell>
          <cell r="FK16">
            <v>29.8</v>
          </cell>
          <cell r="FL16">
            <v>51.8</v>
          </cell>
          <cell r="FM16">
            <v>80.5</v>
          </cell>
          <cell r="FN16">
            <v>12.3</v>
          </cell>
        </row>
        <row r="17">
          <cell r="A17" t="str">
            <v>85015104CCC04</v>
          </cell>
          <cell r="B17" t="str">
            <v>CCC04</v>
          </cell>
          <cell r="C17">
            <v>85015104</v>
          </cell>
          <cell r="F17">
            <v>1856903</v>
          </cell>
          <cell r="I17" t="str">
            <v>040-049</v>
          </cell>
          <cell r="J17" t="str">
            <v>BNL2</v>
          </cell>
          <cell r="K17" t="str">
            <v>S6_120</v>
          </cell>
          <cell r="L17" t="str">
            <v>F1.45</v>
          </cell>
          <cell r="S17">
            <v>80.33</v>
          </cell>
          <cell r="T17">
            <v>87.8</v>
          </cell>
          <cell r="U17">
            <v>7.4200000000000017</v>
          </cell>
          <cell r="V17">
            <v>7.4699999999999989</v>
          </cell>
          <cell r="AL17">
            <v>1.4</v>
          </cell>
          <cell r="AM17">
            <v>10.5</v>
          </cell>
          <cell r="AO17">
            <v>21.4</v>
          </cell>
          <cell r="AP17">
            <v>0.76</v>
          </cell>
          <cell r="AQ17" t="str">
            <v>&lt;0.01</v>
          </cell>
          <cell r="AR17">
            <v>0.04</v>
          </cell>
          <cell r="AS17">
            <v>0.72</v>
          </cell>
          <cell r="AT17">
            <v>31.99</v>
          </cell>
          <cell r="AU17">
            <v>7641</v>
          </cell>
          <cell r="AV17" t="str">
            <v>&gt;9</v>
          </cell>
          <cell r="AX17">
            <v>77.599999999999994</v>
          </cell>
          <cell r="AY17">
            <v>4.42</v>
          </cell>
          <cell r="AZ17">
            <v>1.8</v>
          </cell>
          <cell r="BC17">
            <v>3.5999999999999997E-2</v>
          </cell>
          <cell r="BD17" t="str">
            <v>L107589</v>
          </cell>
          <cell r="BK17">
            <v>395</v>
          </cell>
          <cell r="BL17">
            <v>425</v>
          </cell>
          <cell r="BM17">
            <v>465</v>
          </cell>
          <cell r="BN17">
            <v>22</v>
          </cell>
          <cell r="BO17">
            <v>54</v>
          </cell>
          <cell r="BP17">
            <v>41708</v>
          </cell>
          <cell r="BQ17">
            <v>425</v>
          </cell>
          <cell r="BR17">
            <v>460</v>
          </cell>
          <cell r="BS17">
            <v>465</v>
          </cell>
          <cell r="BT17">
            <v>52</v>
          </cell>
          <cell r="BU17">
            <v>490</v>
          </cell>
          <cell r="BV17">
            <v>41705.272222222222</v>
          </cell>
          <cell r="BW17" t="str">
            <v>G4</v>
          </cell>
          <cell r="BY17">
            <v>66</v>
          </cell>
          <cell r="BZ17">
            <v>75</v>
          </cell>
          <cell r="CI17">
            <v>63.3</v>
          </cell>
          <cell r="CJ17">
            <v>23.6</v>
          </cell>
          <cell r="CK17">
            <v>2.5499999999999998</v>
          </cell>
          <cell r="CL17">
            <v>1.1399999999999999</v>
          </cell>
          <cell r="CM17">
            <v>0.69</v>
          </cell>
          <cell r="CN17">
            <v>0.14000000000000001</v>
          </cell>
          <cell r="CO17">
            <v>2.5499999999999998</v>
          </cell>
          <cell r="CP17">
            <v>3.16</v>
          </cell>
          <cell r="CQ17">
            <v>0.03</v>
          </cell>
          <cell r="CR17">
            <v>0.8</v>
          </cell>
          <cell r="CS17">
            <v>0.33</v>
          </cell>
          <cell r="CT17">
            <v>0.08</v>
          </cell>
          <cell r="CU17">
            <v>0.18</v>
          </cell>
          <cell r="CV17">
            <v>0.03</v>
          </cell>
          <cell r="CW17">
            <v>0.1</v>
          </cell>
          <cell r="DA17" t="str">
            <v>L107603</v>
          </cell>
          <cell r="DB17" t="str">
            <v>BV Minerals (Amdel)</v>
          </cell>
          <cell r="EU17" t="str">
            <v>C</v>
          </cell>
          <cell r="EV17" t="str">
            <v>F1.45</v>
          </cell>
          <cell r="EW17">
            <v>18.100000000000001</v>
          </cell>
          <cell r="FA17">
            <v>1</v>
          </cell>
          <cell r="FB17">
            <v>11</v>
          </cell>
          <cell r="FC17">
            <v>21.3</v>
          </cell>
          <cell r="FD17">
            <v>0.77</v>
          </cell>
          <cell r="FE17">
            <v>0.04</v>
          </cell>
          <cell r="FJ17">
            <v>79.599999999999994</v>
          </cell>
          <cell r="FK17">
            <v>26.1</v>
          </cell>
          <cell r="FL17">
            <v>59.6</v>
          </cell>
          <cell r="FM17">
            <v>80.3</v>
          </cell>
          <cell r="FN17">
            <v>12.8</v>
          </cell>
        </row>
        <row r="18">
          <cell r="A18" t="str">
            <v>85015104CCC05</v>
          </cell>
          <cell r="B18" t="str">
            <v>CCC05</v>
          </cell>
          <cell r="C18">
            <v>85015104</v>
          </cell>
          <cell r="F18">
            <v>1856904</v>
          </cell>
          <cell r="I18" t="str">
            <v>050-069</v>
          </cell>
          <cell r="J18" t="str">
            <v>BNL2_BNL3</v>
          </cell>
          <cell r="K18" t="str">
            <v>S6_120</v>
          </cell>
          <cell r="L18" t="str">
            <v>F1.45</v>
          </cell>
          <cell r="S18">
            <v>87.85</v>
          </cell>
          <cell r="T18">
            <v>99.25</v>
          </cell>
          <cell r="U18">
            <v>11.210000000000008</v>
          </cell>
          <cell r="V18">
            <v>11.400000000000006</v>
          </cell>
          <cell r="AL18">
            <v>1</v>
          </cell>
          <cell r="AM18">
            <v>10.4</v>
          </cell>
          <cell r="AO18">
            <v>21.6</v>
          </cell>
          <cell r="AP18">
            <v>0.94</v>
          </cell>
          <cell r="AQ18" t="str">
            <v>&lt;0.01</v>
          </cell>
          <cell r="AR18">
            <v>0.05</v>
          </cell>
          <cell r="AS18">
            <v>0.8899999999999999</v>
          </cell>
          <cell r="AT18">
            <v>32.020000000000003</v>
          </cell>
          <cell r="AU18">
            <v>7648</v>
          </cell>
          <cell r="AV18" t="str">
            <v>&gt;9</v>
          </cell>
          <cell r="AX18">
            <v>76.599999999999994</v>
          </cell>
          <cell r="AY18">
            <v>4.4800000000000004</v>
          </cell>
          <cell r="AZ18">
            <v>1.72</v>
          </cell>
          <cell r="BC18">
            <v>2.5000000000000001E-2</v>
          </cell>
          <cell r="BD18" t="str">
            <v>L107457</v>
          </cell>
          <cell r="BK18">
            <v>400</v>
          </cell>
          <cell r="BL18">
            <v>425</v>
          </cell>
          <cell r="BM18">
            <v>470</v>
          </cell>
          <cell r="BN18">
            <v>26</v>
          </cell>
          <cell r="BO18">
            <v>80</v>
          </cell>
          <cell r="BP18">
            <v>41709</v>
          </cell>
          <cell r="BQ18">
            <v>425</v>
          </cell>
          <cell r="BR18">
            <v>460</v>
          </cell>
          <cell r="BS18">
            <v>440</v>
          </cell>
          <cell r="BT18">
            <v>152</v>
          </cell>
          <cell r="BU18">
            <v>490</v>
          </cell>
          <cell r="BV18">
            <v>41709.895833333336</v>
          </cell>
          <cell r="BW18" t="str">
            <v>G5</v>
          </cell>
          <cell r="BY18">
            <v>72</v>
          </cell>
          <cell r="BZ18">
            <v>84</v>
          </cell>
          <cell r="CI18">
            <v>62.3</v>
          </cell>
          <cell r="CJ18">
            <v>25.5</v>
          </cell>
          <cell r="CK18">
            <v>2.91</v>
          </cell>
          <cell r="CL18">
            <v>0.83</v>
          </cell>
          <cell r="CM18">
            <v>0.71</v>
          </cell>
          <cell r="CN18">
            <v>0.12</v>
          </cell>
          <cell r="CO18">
            <v>2.36</v>
          </cell>
          <cell r="CP18">
            <v>2.62</v>
          </cell>
          <cell r="CQ18">
            <v>0.03</v>
          </cell>
          <cell r="CR18">
            <v>0.53</v>
          </cell>
          <cell r="CS18">
            <v>0.51</v>
          </cell>
          <cell r="CT18">
            <v>0.1</v>
          </cell>
          <cell r="CU18">
            <v>0.16</v>
          </cell>
          <cell r="CV18">
            <v>0.05</v>
          </cell>
          <cell r="CW18">
            <v>0.1</v>
          </cell>
          <cell r="DA18" t="str">
            <v>L107441</v>
          </cell>
          <cell r="DB18" t="str">
            <v>BV Minerals (Amdel)</v>
          </cell>
          <cell r="EU18" t="str">
            <v>C</v>
          </cell>
          <cell r="EV18" t="str">
            <v>F1.45</v>
          </cell>
          <cell r="EW18">
            <v>31.9</v>
          </cell>
          <cell r="FA18">
            <v>0.8</v>
          </cell>
          <cell r="FB18">
            <v>10.4</v>
          </cell>
          <cell r="FC18">
            <v>21.7</v>
          </cell>
          <cell r="FD18">
            <v>0.94</v>
          </cell>
          <cell r="FE18">
            <v>2.5000000000000001E-2</v>
          </cell>
          <cell r="FJ18">
            <v>80.5</v>
          </cell>
          <cell r="FK18">
            <v>22.2</v>
          </cell>
          <cell r="FL18">
            <v>62.2</v>
          </cell>
          <cell r="FM18">
            <v>81.3</v>
          </cell>
          <cell r="FN18">
            <v>13.8</v>
          </cell>
        </row>
        <row r="19">
          <cell r="A19" t="str">
            <v>85015104CCC06</v>
          </cell>
          <cell r="B19" t="str">
            <v>CCC06</v>
          </cell>
          <cell r="C19">
            <v>85015104</v>
          </cell>
          <cell r="F19">
            <v>1856905</v>
          </cell>
          <cell r="I19" t="str">
            <v>072-075</v>
          </cell>
          <cell r="J19" t="str">
            <v>BR</v>
          </cell>
          <cell r="K19" t="str">
            <v>S6_120</v>
          </cell>
          <cell r="L19" t="str">
            <v>F1.45</v>
          </cell>
          <cell r="S19">
            <v>116.5</v>
          </cell>
          <cell r="T19">
            <v>119.03</v>
          </cell>
          <cell r="U19">
            <v>2.5300000000000011</v>
          </cell>
          <cell r="V19">
            <v>2.5300000000000011</v>
          </cell>
          <cell r="AL19">
            <v>1.1000000000000001</v>
          </cell>
          <cell r="AM19">
            <v>9.5</v>
          </cell>
          <cell r="AO19">
            <v>20.2</v>
          </cell>
          <cell r="AP19">
            <v>1.08</v>
          </cell>
          <cell r="AQ19" t="str">
            <v>&lt;0.01</v>
          </cell>
          <cell r="AR19">
            <v>0.06</v>
          </cell>
          <cell r="AS19">
            <v>1.02</v>
          </cell>
          <cell r="AT19">
            <v>32.24</v>
          </cell>
          <cell r="AU19">
            <v>7699</v>
          </cell>
          <cell r="AV19" t="str">
            <v>&gt;9</v>
          </cell>
          <cell r="AX19">
            <v>77.5</v>
          </cell>
          <cell r="AY19">
            <v>4.42</v>
          </cell>
          <cell r="AZ19">
            <v>1.95</v>
          </cell>
          <cell r="BC19">
            <v>0.104</v>
          </cell>
          <cell r="BD19" t="str">
            <v>L107457</v>
          </cell>
          <cell r="BK19">
            <v>405</v>
          </cell>
          <cell r="BL19">
            <v>435</v>
          </cell>
          <cell r="BM19">
            <v>480</v>
          </cell>
          <cell r="BN19">
            <v>23</v>
          </cell>
          <cell r="BO19">
            <v>64</v>
          </cell>
          <cell r="BP19">
            <v>41712</v>
          </cell>
          <cell r="BQ19">
            <v>430</v>
          </cell>
          <cell r="BR19">
            <v>465</v>
          </cell>
          <cell r="BS19">
            <v>445</v>
          </cell>
          <cell r="BT19">
            <v>50</v>
          </cell>
          <cell r="BU19">
            <v>495</v>
          </cell>
          <cell r="BV19">
            <v>41711.890972222223</v>
          </cell>
          <cell r="BW19" t="str">
            <v>G5</v>
          </cell>
          <cell r="BY19">
            <v>67</v>
          </cell>
          <cell r="BZ19">
            <v>74</v>
          </cell>
          <cell r="CI19">
            <v>59.3</v>
          </cell>
          <cell r="CJ19">
            <v>26</v>
          </cell>
          <cell r="CK19">
            <v>2.0499999999999998</v>
          </cell>
          <cell r="CL19">
            <v>2.4</v>
          </cell>
          <cell r="CM19">
            <v>0.56999999999999995</v>
          </cell>
          <cell r="CN19">
            <v>0.14000000000000001</v>
          </cell>
          <cell r="CO19">
            <v>2.59</v>
          </cell>
          <cell r="CP19">
            <v>2.59</v>
          </cell>
          <cell r="CQ19" t="str">
            <v>&lt;0.02</v>
          </cell>
          <cell r="CR19">
            <v>2.4900000000000002</v>
          </cell>
          <cell r="CS19">
            <v>0.19</v>
          </cell>
          <cell r="CT19">
            <v>0.32</v>
          </cell>
          <cell r="CU19">
            <v>0.22</v>
          </cell>
          <cell r="CV19">
            <v>0.02</v>
          </cell>
          <cell r="CW19">
            <v>0.1</v>
          </cell>
          <cell r="DA19" t="str">
            <v>L107441</v>
          </cell>
          <cell r="DB19" t="str">
            <v>BV Minerals (Amdel)</v>
          </cell>
          <cell r="EU19" t="str">
            <v>C</v>
          </cell>
          <cell r="EV19" t="str">
            <v>F1.45</v>
          </cell>
          <cell r="EW19">
            <v>36</v>
          </cell>
          <cell r="FA19">
            <v>0.9</v>
          </cell>
          <cell r="FB19">
            <v>9.5</v>
          </cell>
          <cell r="FC19">
            <v>20.3</v>
          </cell>
          <cell r="FD19">
            <v>1.05</v>
          </cell>
          <cell r="FE19">
            <v>0.105</v>
          </cell>
          <cell r="FJ19">
            <v>79.900000000000006</v>
          </cell>
          <cell r="FK19">
            <v>20.8</v>
          </cell>
          <cell r="FL19">
            <v>64.5</v>
          </cell>
          <cell r="FM19">
            <v>79.3</v>
          </cell>
          <cell r="FN19">
            <v>15</v>
          </cell>
        </row>
        <row r="20">
          <cell r="A20" t="str">
            <v>85015104CCC07</v>
          </cell>
          <cell r="B20" t="str">
            <v>CCC07</v>
          </cell>
          <cell r="C20">
            <v>85015104</v>
          </cell>
          <cell r="F20">
            <v>1856906</v>
          </cell>
          <cell r="I20" t="str">
            <v>078-084</v>
          </cell>
          <cell r="J20" t="str">
            <v>UCT</v>
          </cell>
          <cell r="K20" t="str">
            <v>S6_120</v>
          </cell>
          <cell r="L20" t="str">
            <v>F1.45</v>
          </cell>
          <cell r="S20">
            <v>150.44</v>
          </cell>
          <cell r="T20">
            <v>154.97999999999999</v>
          </cell>
          <cell r="U20">
            <v>4.54</v>
          </cell>
          <cell r="V20">
            <v>4.54</v>
          </cell>
          <cell r="AL20">
            <v>1.1000000000000001</v>
          </cell>
          <cell r="AM20">
            <v>10</v>
          </cell>
          <cell r="AO20">
            <v>18.8</v>
          </cell>
          <cell r="AP20">
            <v>1.92</v>
          </cell>
          <cell r="AQ20">
            <v>0.01</v>
          </cell>
          <cell r="AR20">
            <v>0.38</v>
          </cell>
          <cell r="AS20">
            <v>1.5299999999999998</v>
          </cell>
          <cell r="AT20">
            <v>32.1</v>
          </cell>
          <cell r="AU20">
            <v>7666</v>
          </cell>
          <cell r="AV20" t="str">
            <v>&gt;9</v>
          </cell>
          <cell r="AX20">
            <v>77.900000000000006</v>
          </cell>
          <cell r="AY20">
            <v>4.28</v>
          </cell>
          <cell r="AZ20">
            <v>1.71</v>
          </cell>
          <cell r="BC20">
            <v>5.8000000000000003E-2</v>
          </cell>
          <cell r="BD20" t="str">
            <v>L107457</v>
          </cell>
          <cell r="BK20">
            <v>420</v>
          </cell>
          <cell r="BL20">
            <v>445</v>
          </cell>
          <cell r="BM20">
            <v>490</v>
          </cell>
          <cell r="BN20">
            <v>24</v>
          </cell>
          <cell r="BO20">
            <v>18</v>
          </cell>
          <cell r="BP20">
            <v>41716</v>
          </cell>
          <cell r="BQ20">
            <v>445</v>
          </cell>
          <cell r="BR20">
            <v>470</v>
          </cell>
          <cell r="BS20">
            <v>465</v>
          </cell>
          <cell r="BT20">
            <v>6</v>
          </cell>
          <cell r="BU20">
            <v>490</v>
          </cell>
          <cell r="BV20">
            <v>41711.888194444444</v>
          </cell>
          <cell r="BW20" t="str">
            <v>G2</v>
          </cell>
          <cell r="BY20">
            <v>53</v>
          </cell>
          <cell r="BZ20">
            <v>62</v>
          </cell>
          <cell r="CI20">
            <v>58.9</v>
          </cell>
          <cell r="CJ20">
            <v>23.5</v>
          </cell>
          <cell r="CK20">
            <v>5.8</v>
          </cell>
          <cell r="CL20">
            <v>1.56</v>
          </cell>
          <cell r="CM20">
            <v>0.59</v>
          </cell>
          <cell r="CN20">
            <v>0.16</v>
          </cell>
          <cell r="CO20">
            <v>2.25</v>
          </cell>
          <cell r="CP20">
            <v>3.35</v>
          </cell>
          <cell r="CQ20">
            <v>0.03</v>
          </cell>
          <cell r="CR20">
            <v>1.3</v>
          </cell>
          <cell r="CS20">
            <v>0.49</v>
          </cell>
          <cell r="CT20">
            <v>0.27</v>
          </cell>
          <cell r="CU20">
            <v>0.28000000000000003</v>
          </cell>
          <cell r="CV20">
            <v>0.05</v>
          </cell>
          <cell r="CW20">
            <v>0.12</v>
          </cell>
          <cell r="DA20" t="str">
            <v>L107441</v>
          </cell>
          <cell r="DB20" t="str">
            <v>BV Minerals (Amdel)</v>
          </cell>
          <cell r="EU20" t="str">
            <v>C</v>
          </cell>
          <cell r="EV20" t="str">
            <v>F1.45</v>
          </cell>
          <cell r="EW20">
            <v>19.899999999999999</v>
          </cell>
          <cell r="FA20">
            <v>0.9</v>
          </cell>
          <cell r="FB20">
            <v>9.9</v>
          </cell>
          <cell r="FC20">
            <v>18.8</v>
          </cell>
          <cell r="FD20">
            <v>1.9</v>
          </cell>
          <cell r="FE20">
            <v>6.2E-2</v>
          </cell>
          <cell r="FJ20">
            <v>78.900000000000006</v>
          </cell>
          <cell r="FK20">
            <v>31.4</v>
          </cell>
          <cell r="FL20">
            <v>50.1</v>
          </cell>
          <cell r="FM20">
            <v>77.8</v>
          </cell>
          <cell r="FN20">
            <v>16</v>
          </cell>
        </row>
        <row r="21">
          <cell r="A21" t="str">
            <v>85015104CCC08</v>
          </cell>
          <cell r="B21" t="str">
            <v>CCC08</v>
          </cell>
          <cell r="C21">
            <v>85015104</v>
          </cell>
          <cell r="F21">
            <v>1856907</v>
          </cell>
          <cell r="I21" t="str">
            <v>085-093</v>
          </cell>
          <cell r="J21" t="str">
            <v>UCB</v>
          </cell>
          <cell r="K21" t="str">
            <v>S6_120</v>
          </cell>
          <cell r="L21" t="str">
            <v>F1.45</v>
          </cell>
          <cell r="S21">
            <v>154.97999999999999</v>
          </cell>
          <cell r="T21">
            <v>162.47999999999999</v>
          </cell>
          <cell r="U21">
            <v>7.5</v>
          </cell>
          <cell r="V21">
            <v>7.5</v>
          </cell>
          <cell r="AL21">
            <v>1</v>
          </cell>
          <cell r="AM21">
            <v>9.8000000000000007</v>
          </cell>
          <cell r="AO21">
            <v>18.2</v>
          </cell>
          <cell r="AP21">
            <v>2.61</v>
          </cell>
          <cell r="AQ21">
            <v>0.02</v>
          </cell>
          <cell r="AR21">
            <v>0.53</v>
          </cell>
          <cell r="AS21">
            <v>2.0599999999999996</v>
          </cell>
          <cell r="AT21">
            <v>32.200000000000003</v>
          </cell>
          <cell r="AU21">
            <v>7692</v>
          </cell>
          <cell r="AV21" t="str">
            <v>&gt;9</v>
          </cell>
          <cell r="AX21">
            <v>78.3</v>
          </cell>
          <cell r="AY21">
            <v>4.2699999999999996</v>
          </cell>
          <cell r="AZ21">
            <v>1.58</v>
          </cell>
          <cell r="BC21">
            <v>1.2999999999999999E-2</v>
          </cell>
          <cell r="BD21" t="str">
            <v>L107457</v>
          </cell>
          <cell r="BK21">
            <v>425</v>
          </cell>
          <cell r="BL21">
            <v>455</v>
          </cell>
          <cell r="BM21">
            <v>485</v>
          </cell>
          <cell r="BN21">
            <v>26</v>
          </cell>
          <cell r="BO21">
            <v>-16</v>
          </cell>
          <cell r="BP21">
            <v>41717</v>
          </cell>
          <cell r="BQ21">
            <v>455</v>
          </cell>
          <cell r="BR21">
            <v>475</v>
          </cell>
          <cell r="BS21">
            <v>475</v>
          </cell>
          <cell r="BT21">
            <v>3</v>
          </cell>
          <cell r="BU21">
            <v>480</v>
          </cell>
          <cell r="BV21">
            <v>41715.894444444442</v>
          </cell>
          <cell r="BW21" t="str">
            <v>G2</v>
          </cell>
          <cell r="BY21">
            <v>40</v>
          </cell>
          <cell r="BZ21">
            <v>47</v>
          </cell>
          <cell r="CI21">
            <v>59.3</v>
          </cell>
          <cell r="CJ21">
            <v>23.9</v>
          </cell>
          <cell r="CK21">
            <v>7.7</v>
          </cell>
          <cell r="CL21">
            <v>1.01</v>
          </cell>
          <cell r="CM21">
            <v>0.5</v>
          </cell>
          <cell r="CN21">
            <v>0.17</v>
          </cell>
          <cell r="CO21">
            <v>1.76</v>
          </cell>
          <cell r="CP21">
            <v>2.9</v>
          </cell>
          <cell r="CQ21">
            <v>0.03</v>
          </cell>
          <cell r="CR21">
            <v>0.3</v>
          </cell>
          <cell r="CS21">
            <v>0.73</v>
          </cell>
          <cell r="CT21">
            <v>0.08</v>
          </cell>
          <cell r="CU21">
            <v>0.15</v>
          </cell>
          <cell r="CV21">
            <v>0.03</v>
          </cell>
          <cell r="CW21">
            <v>0.12</v>
          </cell>
          <cell r="DA21" t="str">
            <v>L107441</v>
          </cell>
          <cell r="DB21" t="str">
            <v>BV Minerals (Amdel)</v>
          </cell>
          <cell r="EU21" t="str">
            <v>C</v>
          </cell>
          <cell r="EV21" t="str">
            <v>F1.45</v>
          </cell>
          <cell r="EW21">
            <v>31.7</v>
          </cell>
          <cell r="FA21">
            <v>0.7</v>
          </cell>
          <cell r="FB21">
            <v>9.8000000000000007</v>
          </cell>
          <cell r="FC21">
            <v>18.2</v>
          </cell>
          <cell r="FD21">
            <v>2.69</v>
          </cell>
          <cell r="FE21">
            <v>8.9999999999999993E-3</v>
          </cell>
          <cell r="FJ21">
            <v>79.099999999999994</v>
          </cell>
          <cell r="FK21">
            <v>32.9</v>
          </cell>
          <cell r="FL21">
            <v>46.6</v>
          </cell>
          <cell r="FM21">
            <v>80.5</v>
          </cell>
          <cell r="FN21">
            <v>14.8</v>
          </cell>
        </row>
        <row r="22">
          <cell r="A22" t="str">
            <v>85015104CCC09</v>
          </cell>
          <cell r="B22" t="str">
            <v>CCC09</v>
          </cell>
          <cell r="C22">
            <v>85015104</v>
          </cell>
          <cell r="F22">
            <v>1856908</v>
          </cell>
          <cell r="I22" t="str">
            <v>094-102</v>
          </cell>
          <cell r="J22" t="str">
            <v>UCB</v>
          </cell>
          <cell r="K22" t="str">
            <v>S6_120</v>
          </cell>
          <cell r="L22" t="str">
            <v>F1.45</v>
          </cell>
          <cell r="S22">
            <v>162.47999999999999</v>
          </cell>
          <cell r="T22">
            <v>170.02</v>
          </cell>
          <cell r="U22">
            <v>7.45</v>
          </cell>
          <cell r="V22">
            <v>7.54</v>
          </cell>
          <cell r="AL22">
            <v>0.9</v>
          </cell>
          <cell r="AM22">
            <v>9</v>
          </cell>
          <cell r="AO22">
            <v>18.3</v>
          </cell>
          <cell r="AP22">
            <v>1.74</v>
          </cell>
          <cell r="AQ22">
            <v>0.01</v>
          </cell>
          <cell r="AR22">
            <v>0.37</v>
          </cell>
          <cell r="AS22">
            <v>1.3599999999999999</v>
          </cell>
          <cell r="AT22">
            <v>32.479999999999997</v>
          </cell>
          <cell r="AU22">
            <v>7758</v>
          </cell>
          <cell r="AV22" t="str">
            <v>&gt;9</v>
          </cell>
          <cell r="AX22">
            <v>79.099999999999994</v>
          </cell>
          <cell r="AY22">
            <v>4.29</v>
          </cell>
          <cell r="AZ22">
            <v>1.65</v>
          </cell>
          <cell r="BC22">
            <v>5.8000000000000003E-2</v>
          </cell>
          <cell r="BD22" t="str">
            <v>L107457</v>
          </cell>
          <cell r="BK22">
            <v>425</v>
          </cell>
          <cell r="BL22">
            <v>455</v>
          </cell>
          <cell r="BM22">
            <v>490</v>
          </cell>
          <cell r="BN22">
            <v>26</v>
          </cell>
          <cell r="BO22">
            <v>-10</v>
          </cell>
          <cell r="BP22">
            <v>41717</v>
          </cell>
          <cell r="BQ22">
            <v>455</v>
          </cell>
          <cell r="BR22">
            <v>470</v>
          </cell>
          <cell r="BS22">
            <v>470</v>
          </cell>
          <cell r="BT22">
            <v>3</v>
          </cell>
          <cell r="BU22">
            <v>490</v>
          </cell>
          <cell r="BV22">
            <v>41715.896527777775</v>
          </cell>
          <cell r="BW22" t="str">
            <v>F</v>
          </cell>
          <cell r="BY22">
            <v>46</v>
          </cell>
          <cell r="BZ22">
            <v>55</v>
          </cell>
          <cell r="CI22">
            <v>57.8</v>
          </cell>
          <cell r="CJ22">
            <v>24.6</v>
          </cell>
          <cell r="CK22">
            <v>6</v>
          </cell>
          <cell r="CL22">
            <v>1.63</v>
          </cell>
          <cell r="CM22">
            <v>0.53</v>
          </cell>
          <cell r="CN22">
            <v>0.2</v>
          </cell>
          <cell r="CO22">
            <v>1.5</v>
          </cell>
          <cell r="CP22">
            <v>3.05</v>
          </cell>
          <cell r="CQ22" t="str">
            <v>&lt;0.02</v>
          </cell>
          <cell r="CR22">
            <v>1.43</v>
          </cell>
          <cell r="CS22">
            <v>1.18</v>
          </cell>
          <cell r="CT22">
            <v>0.4</v>
          </cell>
          <cell r="CU22">
            <v>0.49</v>
          </cell>
          <cell r="CV22">
            <v>0.04</v>
          </cell>
          <cell r="CW22">
            <v>0.1</v>
          </cell>
          <cell r="DA22" t="str">
            <v>L107441</v>
          </cell>
          <cell r="DB22" t="str">
            <v>BV Minerals (Amdel)</v>
          </cell>
          <cell r="EU22" t="str">
            <v>C</v>
          </cell>
          <cell r="EV22" t="str">
            <v>F1.45</v>
          </cell>
          <cell r="EW22">
            <v>34.299999999999997</v>
          </cell>
          <cell r="FA22">
            <v>0.8</v>
          </cell>
          <cell r="FB22">
            <v>9.1999999999999993</v>
          </cell>
          <cell r="FC22">
            <v>18.3</v>
          </cell>
          <cell r="FD22">
            <v>1.66</v>
          </cell>
          <cell r="FE22">
            <v>7.1999999999999995E-2</v>
          </cell>
          <cell r="FJ22">
            <v>78.8</v>
          </cell>
          <cell r="FK22">
            <v>28.3</v>
          </cell>
          <cell r="FL22">
            <v>55.8</v>
          </cell>
          <cell r="FM22">
            <v>79.5</v>
          </cell>
          <cell r="FN22">
            <v>14.5</v>
          </cell>
        </row>
        <row r="23">
          <cell r="A23" t="str">
            <v>85015104CCC10</v>
          </cell>
          <cell r="B23" t="str">
            <v>CCC10</v>
          </cell>
          <cell r="C23">
            <v>85015104</v>
          </cell>
          <cell r="F23">
            <v>1856909</v>
          </cell>
          <cell r="I23" t="str">
            <v>106-109</v>
          </cell>
          <cell r="J23" t="str">
            <v>MCM</v>
          </cell>
          <cell r="K23" t="str">
            <v>S6_120</v>
          </cell>
          <cell r="L23" t="str">
            <v>F1.45</v>
          </cell>
          <cell r="S23">
            <v>171.73</v>
          </cell>
          <cell r="T23">
            <v>174.14</v>
          </cell>
          <cell r="U23">
            <v>2.4099999999999966</v>
          </cell>
          <cell r="V23">
            <v>2.4099999999999966</v>
          </cell>
          <cell r="AL23">
            <v>1.1000000000000001</v>
          </cell>
          <cell r="AM23">
            <v>10.1</v>
          </cell>
          <cell r="AO23">
            <v>18.899999999999999</v>
          </cell>
          <cell r="AP23">
            <v>1.1000000000000001</v>
          </cell>
          <cell r="AQ23">
            <v>0.01</v>
          </cell>
          <cell r="AR23">
            <v>0.1</v>
          </cell>
          <cell r="AS23">
            <v>0.9900000000000001</v>
          </cell>
          <cell r="AT23">
            <v>31.99</v>
          </cell>
          <cell r="AU23">
            <v>7640</v>
          </cell>
          <cell r="AV23" t="str">
            <v>&gt;9</v>
          </cell>
          <cell r="AX23">
            <v>77.8</v>
          </cell>
          <cell r="AY23">
            <v>4.26</v>
          </cell>
          <cell r="AZ23">
            <v>1.82</v>
          </cell>
          <cell r="BC23">
            <v>0.157</v>
          </cell>
          <cell r="BD23" t="str">
            <v>L107457</v>
          </cell>
          <cell r="BK23">
            <v>415</v>
          </cell>
          <cell r="BL23">
            <v>445</v>
          </cell>
          <cell r="BM23">
            <v>485</v>
          </cell>
          <cell r="BN23">
            <v>24</v>
          </cell>
          <cell r="BO23">
            <v>18</v>
          </cell>
          <cell r="BP23">
            <v>41718</v>
          </cell>
          <cell r="BQ23">
            <v>445</v>
          </cell>
          <cell r="BR23">
            <v>475</v>
          </cell>
          <cell r="BS23">
            <v>465</v>
          </cell>
          <cell r="BT23">
            <v>7</v>
          </cell>
          <cell r="BU23">
            <v>490</v>
          </cell>
          <cell r="BV23">
            <v>41715.895138888889</v>
          </cell>
          <cell r="BW23" t="str">
            <v>G2</v>
          </cell>
          <cell r="BY23">
            <v>50</v>
          </cell>
          <cell r="BZ23">
            <v>59</v>
          </cell>
          <cell r="CI23">
            <v>54.9</v>
          </cell>
          <cell r="CJ23">
            <v>25.9</v>
          </cell>
          <cell r="CK23">
            <v>2.66</v>
          </cell>
          <cell r="CL23">
            <v>3.93</v>
          </cell>
          <cell r="CM23">
            <v>0.49</v>
          </cell>
          <cell r="CN23">
            <v>0.23</v>
          </cell>
          <cell r="CO23">
            <v>1.75</v>
          </cell>
          <cell r="CP23">
            <v>3.42</v>
          </cell>
          <cell r="CQ23">
            <v>0.03</v>
          </cell>
          <cell r="CR23">
            <v>3.44</v>
          </cell>
          <cell r="CS23">
            <v>0.7</v>
          </cell>
          <cell r="CT23">
            <v>0.3</v>
          </cell>
          <cell r="CU23">
            <v>0.41</v>
          </cell>
          <cell r="CV23">
            <v>7.0000000000000007E-2</v>
          </cell>
          <cell r="CW23">
            <v>0.15</v>
          </cell>
          <cell r="DA23" t="str">
            <v>L107441</v>
          </cell>
          <cell r="DB23" t="str">
            <v>BV Minerals (Amdel)</v>
          </cell>
          <cell r="EU23" t="str">
            <v>C</v>
          </cell>
          <cell r="EV23" t="str">
            <v>F1.45</v>
          </cell>
          <cell r="EW23">
            <v>28</v>
          </cell>
          <cell r="FA23">
            <v>0.9</v>
          </cell>
          <cell r="FB23">
            <v>10</v>
          </cell>
          <cell r="FC23">
            <v>18.899999999999999</v>
          </cell>
          <cell r="FD23">
            <v>1.0900000000000001</v>
          </cell>
          <cell r="FE23">
            <v>0.159</v>
          </cell>
          <cell r="FJ23">
            <v>80.5</v>
          </cell>
          <cell r="FK23">
            <v>24.2</v>
          </cell>
          <cell r="FL23">
            <v>60.1</v>
          </cell>
          <cell r="FM23">
            <v>73.8</v>
          </cell>
          <cell r="FN23">
            <v>17.3</v>
          </cell>
        </row>
        <row r="24">
          <cell r="A24" t="str">
            <v>85015104CCC11</v>
          </cell>
          <cell r="B24" t="str">
            <v>CCC11</v>
          </cell>
          <cell r="C24">
            <v>85015104</v>
          </cell>
          <cell r="F24">
            <v>1856910</v>
          </cell>
          <cell r="I24" t="str">
            <v>112-122</v>
          </cell>
          <cell r="J24" t="str">
            <v>LCUT_LCUB</v>
          </cell>
          <cell r="K24" t="str">
            <v>S6_120</v>
          </cell>
          <cell r="L24" t="str">
            <v>F1.45</v>
          </cell>
          <cell r="S24">
            <v>175.13</v>
          </cell>
          <cell r="T24">
            <v>180.19</v>
          </cell>
          <cell r="U24">
            <v>5.01</v>
          </cell>
          <cell r="V24">
            <v>5.0600000000000023</v>
          </cell>
          <cell r="AL24">
            <v>1.2</v>
          </cell>
          <cell r="AM24">
            <v>10.7</v>
          </cell>
          <cell r="AO24">
            <v>18.3</v>
          </cell>
          <cell r="AP24">
            <v>0.91</v>
          </cell>
          <cell r="AQ24" t="str">
            <v>&lt;0.01</v>
          </cell>
          <cell r="AR24">
            <v>0.06</v>
          </cell>
          <cell r="AS24">
            <v>0.85000000000000009</v>
          </cell>
          <cell r="AT24">
            <v>31.75</v>
          </cell>
          <cell r="AU24">
            <v>7583</v>
          </cell>
          <cell r="AV24" t="str">
            <v>&gt;9</v>
          </cell>
          <cell r="AX24">
            <v>76.900000000000006</v>
          </cell>
          <cell r="AY24">
            <v>4.2</v>
          </cell>
          <cell r="AZ24">
            <v>1.82</v>
          </cell>
          <cell r="BC24">
            <v>0.124</v>
          </cell>
          <cell r="BD24" t="str">
            <v>L107457</v>
          </cell>
          <cell r="BK24">
            <v>425</v>
          </cell>
          <cell r="BL24">
            <v>460</v>
          </cell>
          <cell r="BM24">
            <v>485</v>
          </cell>
          <cell r="BN24">
            <v>18</v>
          </cell>
          <cell r="BO24">
            <v>-2</v>
          </cell>
          <cell r="BP24">
            <v>41722</v>
          </cell>
          <cell r="BQ24">
            <v>450</v>
          </cell>
          <cell r="BR24">
            <v>470</v>
          </cell>
          <cell r="BS24">
            <v>470</v>
          </cell>
          <cell r="BT24">
            <v>3</v>
          </cell>
          <cell r="BU24">
            <v>490</v>
          </cell>
          <cell r="BV24">
            <v>41706.574305555558</v>
          </cell>
          <cell r="BW24" t="str">
            <v>G7</v>
          </cell>
          <cell r="BY24">
            <v>46</v>
          </cell>
          <cell r="BZ24">
            <v>51</v>
          </cell>
          <cell r="CI24">
            <v>56.9</v>
          </cell>
          <cell r="CJ24">
            <v>24.8</v>
          </cell>
          <cell r="CK24">
            <v>1.96</v>
          </cell>
          <cell r="CL24">
            <v>3.91</v>
          </cell>
          <cell r="CM24">
            <v>0.71</v>
          </cell>
          <cell r="CN24">
            <v>0.22</v>
          </cell>
          <cell r="CO24">
            <v>1.6</v>
          </cell>
          <cell r="CP24">
            <v>3.36</v>
          </cell>
          <cell r="CQ24">
            <v>0.02</v>
          </cell>
          <cell r="CR24">
            <v>2.5499999999999998</v>
          </cell>
          <cell r="CS24">
            <v>1.74</v>
          </cell>
          <cell r="CT24">
            <v>0.28999999999999998</v>
          </cell>
          <cell r="CU24">
            <v>0.42</v>
          </cell>
          <cell r="CV24">
            <v>0.04</v>
          </cell>
          <cell r="CW24">
            <v>0.1</v>
          </cell>
          <cell r="DA24" t="str">
            <v>L107441</v>
          </cell>
          <cell r="DB24" t="str">
            <v>BV Minerals (Amdel)</v>
          </cell>
          <cell r="EU24" t="str">
            <v>C</v>
          </cell>
          <cell r="EV24" t="str">
            <v>F1.45</v>
          </cell>
          <cell r="EW24">
            <v>25.1</v>
          </cell>
          <cell r="FA24">
            <v>1</v>
          </cell>
          <cell r="FB24">
            <v>10.7</v>
          </cell>
          <cell r="FC24">
            <v>18.100000000000001</v>
          </cell>
          <cell r="FD24">
            <v>0.9</v>
          </cell>
          <cell r="FE24">
            <v>0.125</v>
          </cell>
          <cell r="FJ24">
            <v>78.900000000000006</v>
          </cell>
          <cell r="FK24">
            <v>25.5</v>
          </cell>
          <cell r="FL24">
            <v>58.4</v>
          </cell>
          <cell r="FM24">
            <v>76.3</v>
          </cell>
          <cell r="FN24">
            <v>16.8</v>
          </cell>
        </row>
        <row r="25">
          <cell r="A25" t="str">
            <v>85015104CCC12</v>
          </cell>
          <cell r="B25" t="str">
            <v>CCC12</v>
          </cell>
          <cell r="C25">
            <v>85015104</v>
          </cell>
          <cell r="F25">
            <v>1856911</v>
          </cell>
          <cell r="I25" t="str">
            <v>123-127</v>
          </cell>
          <cell r="J25" t="str">
            <v>LC45_LC46</v>
          </cell>
          <cell r="K25" t="str">
            <v>S6_120</v>
          </cell>
          <cell r="L25" t="str">
            <v>F1.45</v>
          </cell>
          <cell r="S25">
            <v>180.19</v>
          </cell>
          <cell r="T25">
            <v>182.71</v>
          </cell>
          <cell r="U25">
            <v>2.52</v>
          </cell>
          <cell r="V25">
            <v>2.52</v>
          </cell>
          <cell r="AL25">
            <v>1.2</v>
          </cell>
          <cell r="AM25">
            <v>10.8</v>
          </cell>
          <cell r="AO25">
            <v>18</v>
          </cell>
          <cell r="AP25">
            <v>0.79</v>
          </cell>
          <cell r="AQ25" t="str">
            <v>&lt;0.01</v>
          </cell>
          <cell r="AR25">
            <v>0.03</v>
          </cell>
          <cell r="AS25">
            <v>0.76</v>
          </cell>
          <cell r="AT25">
            <v>31.82</v>
          </cell>
          <cell r="AU25">
            <v>7601</v>
          </cell>
          <cell r="AV25" t="str">
            <v>&gt;9</v>
          </cell>
          <cell r="AX25">
            <v>77.3</v>
          </cell>
          <cell r="AY25">
            <v>4.17</v>
          </cell>
          <cell r="AZ25">
            <v>1.95</v>
          </cell>
          <cell r="BC25">
            <v>5.0000000000000001E-3</v>
          </cell>
          <cell r="BD25" t="str">
            <v>L107457</v>
          </cell>
          <cell r="BK25">
            <v>425</v>
          </cell>
          <cell r="BL25">
            <v>455</v>
          </cell>
          <cell r="BM25">
            <v>485</v>
          </cell>
          <cell r="BN25">
            <v>18</v>
          </cell>
          <cell r="BO25">
            <v>6</v>
          </cell>
          <cell r="BP25">
            <v>41723</v>
          </cell>
          <cell r="BQ25">
            <v>450</v>
          </cell>
          <cell r="BR25">
            <v>475</v>
          </cell>
          <cell r="BS25">
            <v>465</v>
          </cell>
          <cell r="BT25">
            <v>9</v>
          </cell>
          <cell r="BU25">
            <v>490</v>
          </cell>
          <cell r="BV25">
            <v>41718.662499999999</v>
          </cell>
          <cell r="BW25" t="str">
            <v>G10</v>
          </cell>
          <cell r="BY25">
            <v>50</v>
          </cell>
          <cell r="BZ25">
            <v>56</v>
          </cell>
          <cell r="CI25">
            <v>69.7</v>
          </cell>
          <cell r="CJ25">
            <v>22.2</v>
          </cell>
          <cell r="CK25">
            <v>1.1200000000000001</v>
          </cell>
          <cell r="CL25">
            <v>0.91</v>
          </cell>
          <cell r="CM25">
            <v>0.47</v>
          </cell>
          <cell r="CN25">
            <v>0.28000000000000003</v>
          </cell>
          <cell r="CO25">
            <v>1.81</v>
          </cell>
          <cell r="CP25">
            <v>1.62</v>
          </cell>
          <cell r="CQ25" t="str">
            <v>&lt;0.02</v>
          </cell>
          <cell r="CR25">
            <v>0.09</v>
          </cell>
          <cell r="CS25">
            <v>0.8</v>
          </cell>
          <cell r="CT25" t="str">
            <v>&lt;0.02</v>
          </cell>
          <cell r="CU25">
            <v>0.08</v>
          </cell>
          <cell r="CV25">
            <v>0.03</v>
          </cell>
          <cell r="CW25">
            <v>0.06</v>
          </cell>
          <cell r="DA25" t="str">
            <v>L107441</v>
          </cell>
          <cell r="DB25" t="str">
            <v>BV Minerals (Amdel)</v>
          </cell>
          <cell r="EU25" t="str">
            <v>C</v>
          </cell>
          <cell r="EV25" t="str">
            <v>F1.45</v>
          </cell>
          <cell r="EW25">
            <v>62.2</v>
          </cell>
          <cell r="FA25">
            <v>1</v>
          </cell>
          <cell r="FB25">
            <v>10.8</v>
          </cell>
          <cell r="FC25">
            <v>17.7</v>
          </cell>
          <cell r="FD25">
            <v>0.8</v>
          </cell>
          <cell r="FE25">
            <v>4.0000000000000001E-3</v>
          </cell>
          <cell r="FJ25">
            <v>79.099999999999994</v>
          </cell>
          <cell r="FK25">
            <v>22.7</v>
          </cell>
          <cell r="FL25">
            <v>63.7</v>
          </cell>
          <cell r="FM25">
            <v>79.5</v>
          </cell>
          <cell r="FN25">
            <v>13</v>
          </cell>
        </row>
        <row r="26">
          <cell r="BB26" t="str">
            <v>ORIGINAL H</v>
          </cell>
          <cell r="FF26" t="str">
            <v>ROUGH ESTIMATE OF EXPECTED CSN</v>
          </cell>
        </row>
        <row r="27">
          <cell r="A27" t="str">
            <v/>
          </cell>
        </row>
        <row r="28">
          <cell r="A28" t="str">
            <v>85015104CCC13</v>
          </cell>
          <cell r="B28" t="str">
            <v>CCC13</v>
          </cell>
          <cell r="C28">
            <v>85015104</v>
          </cell>
          <cell r="F28">
            <v>1854189</v>
          </cell>
          <cell r="H28" t="str">
            <v>export thermal</v>
          </cell>
          <cell r="I28" t="str">
            <v>002-029</v>
          </cell>
          <cell r="J28" t="str">
            <v>BNU1_BNU2</v>
          </cell>
          <cell r="K28" t="str">
            <v>S6_120</v>
          </cell>
          <cell r="L28" t="str">
            <v>S1.45 - F1.50</v>
          </cell>
          <cell r="S28">
            <v>12.66</v>
          </cell>
          <cell r="T28">
            <v>27.38</v>
          </cell>
          <cell r="U28">
            <v>14.719999999999999</v>
          </cell>
          <cell r="V28">
            <v>14.719999999999999</v>
          </cell>
          <cell r="AL28">
            <v>2.6</v>
          </cell>
          <cell r="AM28">
            <v>23.3</v>
          </cell>
          <cell r="AO28">
            <v>27.8</v>
          </cell>
          <cell r="AP28">
            <v>0.35</v>
          </cell>
          <cell r="AT28">
            <v>25.03</v>
          </cell>
          <cell r="AV28">
            <v>8</v>
          </cell>
          <cell r="AX28">
            <v>61.2</v>
          </cell>
          <cell r="AY28">
            <v>4.04</v>
          </cell>
          <cell r="AZ28">
            <v>1.72</v>
          </cell>
          <cell r="BB28">
            <v>4.04</v>
          </cell>
          <cell r="BC28">
            <v>0.17399999999999999</v>
          </cell>
          <cell r="BD28" t="str">
            <v>BV Minerals (Amdel)</v>
          </cell>
          <cell r="BE28" t="str">
            <v>L107165</v>
          </cell>
          <cell r="BG28">
            <v>24.83</v>
          </cell>
          <cell r="BI28">
            <v>11.8</v>
          </cell>
          <cell r="BX28">
            <v>83</v>
          </cell>
          <cell r="CA28">
            <v>1440</v>
          </cell>
          <cell r="CB28">
            <v>1480</v>
          </cell>
          <cell r="CC28">
            <v>1500</v>
          </cell>
          <cell r="CD28">
            <v>1540</v>
          </cell>
          <cell r="CE28">
            <v>1490</v>
          </cell>
          <cell r="CF28">
            <v>1520</v>
          </cell>
          <cell r="CG28">
            <v>1530</v>
          </cell>
          <cell r="CH28">
            <v>1550</v>
          </cell>
          <cell r="CI28">
            <v>59.5</v>
          </cell>
          <cell r="CJ28">
            <v>25.7</v>
          </cell>
          <cell r="CK28">
            <v>6.3</v>
          </cell>
          <cell r="CL28">
            <v>2.06</v>
          </cell>
          <cell r="CM28">
            <v>0.57999999999999996</v>
          </cell>
          <cell r="CN28">
            <v>0.09</v>
          </cell>
          <cell r="CO28">
            <v>2.1</v>
          </cell>
          <cell r="CP28">
            <v>1.08</v>
          </cell>
          <cell r="CQ28">
            <v>0.06</v>
          </cell>
          <cell r="CR28">
            <v>1.62</v>
          </cell>
          <cell r="CS28">
            <v>0.33</v>
          </cell>
          <cell r="CT28">
            <v>0.11</v>
          </cell>
          <cell r="CU28">
            <v>0.11</v>
          </cell>
          <cell r="CV28">
            <v>0.04</v>
          </cell>
          <cell r="CW28">
            <v>0.02</v>
          </cell>
          <cell r="DA28" t="str">
            <v>L106952</v>
          </cell>
          <cell r="DB28" t="str">
            <v>BV Minerals (Amdel)</v>
          </cell>
          <cell r="DD28">
            <v>2.1</v>
          </cell>
          <cell r="DF28">
            <v>12</v>
          </cell>
          <cell r="DK28">
            <v>0.23</v>
          </cell>
          <cell r="DP28">
            <v>480</v>
          </cell>
          <cell r="DS28">
            <v>0.12</v>
          </cell>
          <cell r="DX28">
            <v>3</v>
          </cell>
          <cell r="EA28">
            <v>11</v>
          </cell>
          <cell r="ED28">
            <v>0.3</v>
          </cell>
          <cell r="EQ28" t="str">
            <v>L106922</v>
          </cell>
          <cell r="ER28" t="str">
            <v>BV Minerals (Amdel)</v>
          </cell>
          <cell r="EU28" t="str">
            <v>TE</v>
          </cell>
          <cell r="EV28" t="str">
            <v>S1.45F1.50</v>
          </cell>
          <cell r="EW28">
            <v>7.1</v>
          </cell>
          <cell r="FA28">
            <v>1</v>
          </cell>
          <cell r="FB28">
            <v>24.8</v>
          </cell>
          <cell r="FC28">
            <v>20</v>
          </cell>
          <cell r="FD28">
            <v>1.1299999999999999</v>
          </cell>
          <cell r="FE28">
            <v>0.189</v>
          </cell>
          <cell r="FF28">
            <v>8</v>
          </cell>
        </row>
        <row r="29">
          <cell r="A29" t="str">
            <v>85015104CCC14</v>
          </cell>
          <cell r="B29" t="str">
            <v>CCC14</v>
          </cell>
          <cell r="C29">
            <v>85015104</v>
          </cell>
          <cell r="F29">
            <v>1854190</v>
          </cell>
          <cell r="I29" t="str">
            <v>032-049</v>
          </cell>
          <cell r="J29" t="str">
            <v>BNL1_BNL2</v>
          </cell>
          <cell r="K29" t="str">
            <v>S6_120</v>
          </cell>
          <cell r="L29" t="str">
            <v>S1.45 - F1.50</v>
          </cell>
          <cell r="S29">
            <v>75.59</v>
          </cell>
          <cell r="T29">
            <v>87.8</v>
          </cell>
          <cell r="U29">
            <v>11.629999999999995</v>
          </cell>
          <cell r="V29">
            <v>12.209999999999994</v>
          </cell>
          <cell r="AL29">
            <v>1.2</v>
          </cell>
          <cell r="AM29">
            <v>25.6</v>
          </cell>
          <cell r="AO29">
            <v>18.5</v>
          </cell>
          <cell r="AP29">
            <v>0.76</v>
          </cell>
          <cell r="AT29">
            <v>25.96</v>
          </cell>
          <cell r="AV29">
            <v>7.5</v>
          </cell>
          <cell r="AX29">
            <v>63.6</v>
          </cell>
          <cell r="AY29">
            <v>3.64</v>
          </cell>
          <cell r="AZ29">
            <v>1.51</v>
          </cell>
          <cell r="BB29">
            <v>3.97</v>
          </cell>
          <cell r="BC29">
            <v>0.161</v>
          </cell>
          <cell r="BD29" t="str">
            <v>BV Minerals (Amdel)</v>
          </cell>
          <cell r="BE29" t="str">
            <v>L107165</v>
          </cell>
          <cell r="BG29">
            <v>25.94</v>
          </cell>
          <cell r="BI29">
            <v>15.4</v>
          </cell>
          <cell r="BX29">
            <v>80</v>
          </cell>
          <cell r="CA29">
            <v>1480</v>
          </cell>
          <cell r="CB29">
            <v>1540</v>
          </cell>
          <cell r="CC29">
            <v>1540</v>
          </cell>
          <cell r="CD29" t="str">
            <v>+1560</v>
          </cell>
          <cell r="CE29">
            <v>1500</v>
          </cell>
          <cell r="CF29">
            <v>1550</v>
          </cell>
          <cell r="CG29" t="str">
            <v>+1560</v>
          </cell>
          <cell r="CH29" t="str">
            <v>+1560</v>
          </cell>
          <cell r="CI29">
            <v>64.8</v>
          </cell>
          <cell r="CJ29">
            <v>23.9</v>
          </cell>
          <cell r="CK29">
            <v>3.16</v>
          </cell>
          <cell r="CL29">
            <v>1.42</v>
          </cell>
          <cell r="CM29">
            <v>0.61</v>
          </cell>
          <cell r="CN29">
            <v>0.09</v>
          </cell>
          <cell r="CO29">
            <v>2.5499999999999998</v>
          </cell>
          <cell r="CP29">
            <v>1.17</v>
          </cell>
          <cell r="CQ29">
            <v>0.03</v>
          </cell>
          <cell r="CR29">
            <v>1.42</v>
          </cell>
          <cell r="CS29">
            <v>0.18</v>
          </cell>
          <cell r="CT29">
            <v>0.12</v>
          </cell>
          <cell r="CU29">
            <v>0.28999999999999998</v>
          </cell>
          <cell r="CV29">
            <v>0.05</v>
          </cell>
          <cell r="CW29">
            <v>0.04</v>
          </cell>
          <cell r="DA29" t="str">
            <v>L106918</v>
          </cell>
          <cell r="DB29" t="str">
            <v>BV Minerals (Amdel)</v>
          </cell>
          <cell r="DD29">
            <v>2.8</v>
          </cell>
          <cell r="DF29">
            <v>11.1</v>
          </cell>
          <cell r="DK29">
            <v>0.4</v>
          </cell>
          <cell r="DP29">
            <v>410</v>
          </cell>
          <cell r="DS29">
            <v>0.1</v>
          </cell>
          <cell r="DX29">
            <v>4</v>
          </cell>
          <cell r="EA29">
            <v>17</v>
          </cell>
          <cell r="ED29">
            <v>0.4</v>
          </cell>
          <cell r="EQ29" t="str">
            <v>L106905</v>
          </cell>
          <cell r="ER29" t="str">
            <v>BV Minerals (Amdel)</v>
          </cell>
          <cell r="EU29" t="str">
            <v>TE</v>
          </cell>
          <cell r="EV29" t="str">
            <v>S1.45F1.50</v>
          </cell>
          <cell r="EW29">
            <v>3.4</v>
          </cell>
          <cell r="FA29">
            <v>0.8</v>
          </cell>
          <cell r="FB29">
            <v>25.7</v>
          </cell>
          <cell r="FC29">
            <v>18.7</v>
          </cell>
          <cell r="FD29">
            <v>0.74</v>
          </cell>
          <cell r="FE29">
            <v>0.159</v>
          </cell>
          <cell r="FF29">
            <v>7</v>
          </cell>
        </row>
        <row r="30">
          <cell r="A30" t="str">
            <v>85015104CCC15</v>
          </cell>
          <cell r="B30" t="str">
            <v>CCC15</v>
          </cell>
          <cell r="C30">
            <v>85015104</v>
          </cell>
          <cell r="F30">
            <v>1854191</v>
          </cell>
          <cell r="I30" t="str">
            <v>050-069</v>
          </cell>
          <cell r="J30" t="str">
            <v>BNL2_BNL3</v>
          </cell>
          <cell r="K30" t="str">
            <v>S6_120</v>
          </cell>
          <cell r="L30" t="str">
            <v>S1.45 - F1.50</v>
          </cell>
          <cell r="S30">
            <v>87.85</v>
          </cell>
          <cell r="T30">
            <v>99.25</v>
          </cell>
          <cell r="U30">
            <v>11.210000000000008</v>
          </cell>
          <cell r="V30">
            <v>11.400000000000006</v>
          </cell>
          <cell r="AL30">
            <v>1.1000000000000001</v>
          </cell>
          <cell r="AM30">
            <v>24.3</v>
          </cell>
          <cell r="AO30">
            <v>18.100000000000001</v>
          </cell>
          <cell r="AP30">
            <v>0.76</v>
          </cell>
          <cell r="AT30">
            <v>26.49</v>
          </cell>
          <cell r="AV30">
            <v>7</v>
          </cell>
          <cell r="AX30">
            <v>64.7</v>
          </cell>
          <cell r="AY30">
            <v>3.71</v>
          </cell>
          <cell r="AZ30">
            <v>1.51</v>
          </cell>
          <cell r="BB30">
            <v>4</v>
          </cell>
          <cell r="BC30">
            <v>4.7E-2</v>
          </cell>
          <cell r="BD30" t="str">
            <v>BV Minerals (Amdel)</v>
          </cell>
          <cell r="BE30" t="str">
            <v>L107165</v>
          </cell>
          <cell r="BG30">
            <v>24.59</v>
          </cell>
          <cell r="BI30">
            <v>11.6</v>
          </cell>
          <cell r="BX30">
            <v>81</v>
          </cell>
          <cell r="CA30" t="str">
            <v>+1560</v>
          </cell>
          <cell r="CB30" t="str">
            <v>+1560</v>
          </cell>
          <cell r="CC30" t="str">
            <v>+1560</v>
          </cell>
          <cell r="CD30" t="str">
            <v>+1560</v>
          </cell>
          <cell r="CE30" t="str">
            <v>+1560</v>
          </cell>
          <cell r="CF30" t="str">
            <v>+1560</v>
          </cell>
          <cell r="CG30" t="str">
            <v>+1560</v>
          </cell>
          <cell r="CH30" t="str">
            <v>+1560</v>
          </cell>
          <cell r="CI30">
            <v>63.8</v>
          </cell>
          <cell r="CJ30">
            <v>26.8</v>
          </cell>
          <cell r="CK30">
            <v>2.95</v>
          </cell>
          <cell r="CL30">
            <v>0.63</v>
          </cell>
          <cell r="CM30">
            <v>0.66</v>
          </cell>
          <cell r="CN30">
            <v>0.11</v>
          </cell>
          <cell r="CO30">
            <v>2.2400000000000002</v>
          </cell>
          <cell r="CP30">
            <v>1.18</v>
          </cell>
          <cell r="CQ30">
            <v>0.03</v>
          </cell>
          <cell r="CR30">
            <v>0.44</v>
          </cell>
          <cell r="CS30">
            <v>0.33</v>
          </cell>
          <cell r="CT30">
            <v>0.08</v>
          </cell>
          <cell r="CU30">
            <v>0.11</v>
          </cell>
          <cell r="CV30">
            <v>0.03</v>
          </cell>
          <cell r="CW30">
            <v>0.03</v>
          </cell>
          <cell r="DA30" t="str">
            <v>L106952</v>
          </cell>
          <cell r="DB30" t="str">
            <v>BV Minerals (Amdel)</v>
          </cell>
          <cell r="DD30">
            <v>2.8</v>
          </cell>
          <cell r="DF30">
            <v>12.9</v>
          </cell>
          <cell r="DK30">
            <v>0.33</v>
          </cell>
          <cell r="DP30">
            <v>330</v>
          </cell>
          <cell r="DS30">
            <v>0.09</v>
          </cell>
          <cell r="DX30">
            <v>4</v>
          </cell>
          <cell r="EA30">
            <v>15</v>
          </cell>
          <cell r="ED30">
            <v>0.6</v>
          </cell>
          <cell r="EQ30" t="str">
            <v>L106922</v>
          </cell>
          <cell r="ER30" t="str">
            <v>BV Minerals (Amdel)</v>
          </cell>
          <cell r="EU30" t="str">
            <v>TE</v>
          </cell>
          <cell r="EV30" t="str">
            <v>S1.45F1.50</v>
          </cell>
          <cell r="EW30">
            <v>8.1999999999999993</v>
          </cell>
          <cell r="FA30">
            <v>0.9</v>
          </cell>
          <cell r="FB30">
            <v>24.5</v>
          </cell>
          <cell r="FC30">
            <v>18.8</v>
          </cell>
          <cell r="FD30">
            <v>0.73</v>
          </cell>
          <cell r="FE30">
            <v>4.7E-2</v>
          </cell>
          <cell r="FF30">
            <v>7.5</v>
          </cell>
        </row>
        <row r="31">
          <cell r="A31" t="str">
            <v>85015104CCC16</v>
          </cell>
          <cell r="B31" t="str">
            <v>CCC16</v>
          </cell>
          <cell r="C31">
            <v>85015104</v>
          </cell>
          <cell r="F31">
            <v>1854192</v>
          </cell>
          <cell r="I31" t="str">
            <v>072-075</v>
          </cell>
          <cell r="J31" t="str">
            <v>BR</v>
          </cell>
          <cell r="K31" t="str">
            <v>S6_120</v>
          </cell>
          <cell r="L31" t="str">
            <v>S1.45 - F1.50</v>
          </cell>
          <cell r="S31">
            <v>116.5</v>
          </cell>
          <cell r="T31">
            <v>119.03</v>
          </cell>
          <cell r="U31">
            <v>2.5300000000000011</v>
          </cell>
          <cell r="V31">
            <v>2.5300000000000011</v>
          </cell>
          <cell r="AL31">
            <v>1</v>
          </cell>
          <cell r="AM31">
            <v>24</v>
          </cell>
          <cell r="AO31">
            <v>16.5</v>
          </cell>
          <cell r="AP31">
            <v>0.93</v>
          </cell>
          <cell r="AT31">
            <v>26.57</v>
          </cell>
          <cell r="AV31">
            <v>4</v>
          </cell>
          <cell r="AX31">
            <v>65.2</v>
          </cell>
          <cell r="AY31">
            <v>3.59</v>
          </cell>
          <cell r="AZ31">
            <v>1.51</v>
          </cell>
          <cell r="BB31">
            <v>3.89</v>
          </cell>
          <cell r="BC31">
            <v>0.22800000000000001</v>
          </cell>
          <cell r="BD31" t="str">
            <v>BV Minerals (Amdel)</v>
          </cell>
          <cell r="BE31" t="str">
            <v>L107165</v>
          </cell>
          <cell r="BG31">
            <v>24.25</v>
          </cell>
          <cell r="BI31">
            <v>11.2</v>
          </cell>
          <cell r="BX31">
            <v>79</v>
          </cell>
          <cell r="CA31">
            <v>1560</v>
          </cell>
          <cell r="CB31" t="str">
            <v>+1560</v>
          </cell>
          <cell r="CC31" t="str">
            <v>+1560</v>
          </cell>
          <cell r="CD31" t="str">
            <v>+1560</v>
          </cell>
          <cell r="CE31" t="str">
            <v>+1560</v>
          </cell>
          <cell r="CF31" t="str">
            <v>+1560</v>
          </cell>
          <cell r="CG31" t="str">
            <v>+1560</v>
          </cell>
          <cell r="CH31" t="str">
            <v>+1560</v>
          </cell>
          <cell r="CI31">
            <v>62.4</v>
          </cell>
          <cell r="CJ31">
            <v>25.6</v>
          </cell>
          <cell r="CK31">
            <v>1.75</v>
          </cell>
          <cell r="CL31">
            <v>2.2200000000000002</v>
          </cell>
          <cell r="CM31">
            <v>0.5</v>
          </cell>
          <cell r="CN31">
            <v>0.17</v>
          </cell>
          <cell r="CO31">
            <v>2.62</v>
          </cell>
          <cell r="CP31">
            <v>1.22</v>
          </cell>
          <cell r="CQ31">
            <v>0.02</v>
          </cell>
          <cell r="CR31">
            <v>2.15</v>
          </cell>
          <cell r="CS31">
            <v>0.11</v>
          </cell>
          <cell r="CT31">
            <v>0.24</v>
          </cell>
          <cell r="CU31">
            <v>0.16</v>
          </cell>
          <cell r="CV31" t="str">
            <v>&lt;0.02</v>
          </cell>
          <cell r="CW31">
            <v>0.04</v>
          </cell>
          <cell r="DA31" t="str">
            <v>L106968</v>
          </cell>
          <cell r="DB31" t="str">
            <v>BV Minerals (Amdel)</v>
          </cell>
          <cell r="DD31">
            <v>1</v>
          </cell>
          <cell r="DF31">
            <v>7</v>
          </cell>
          <cell r="DK31">
            <v>0.23</v>
          </cell>
          <cell r="DP31">
            <v>700</v>
          </cell>
          <cell r="DS31">
            <v>0.04</v>
          </cell>
          <cell r="DX31">
            <v>3</v>
          </cell>
          <cell r="EA31">
            <v>12</v>
          </cell>
          <cell r="ED31">
            <v>0.5</v>
          </cell>
          <cell r="EQ31" t="str">
            <v>L106922</v>
          </cell>
          <cell r="ER31" t="str">
            <v>BV Minerals (Amdel)</v>
          </cell>
          <cell r="EU31" t="str">
            <v>TE</v>
          </cell>
          <cell r="EV31" t="str">
            <v>S1.45F1.50</v>
          </cell>
          <cell r="EW31">
            <v>16.8</v>
          </cell>
          <cell r="FA31">
            <v>1.1000000000000001</v>
          </cell>
          <cell r="FB31">
            <v>24.1</v>
          </cell>
          <cell r="FC31">
            <v>16.8</v>
          </cell>
          <cell r="FD31">
            <v>0.9</v>
          </cell>
          <cell r="FE31">
            <v>0.22800000000000001</v>
          </cell>
          <cell r="FF31">
            <v>4.5</v>
          </cell>
        </row>
        <row r="32">
          <cell r="A32" t="str">
            <v>85015104CCC17</v>
          </cell>
          <cell r="B32" t="str">
            <v>CCC17</v>
          </cell>
          <cell r="C32">
            <v>85015104</v>
          </cell>
          <cell r="F32">
            <v>1854193</v>
          </cell>
          <cell r="I32" t="str">
            <v>078-084</v>
          </cell>
          <cell r="J32" t="str">
            <v>UCT</v>
          </cell>
          <cell r="K32" t="str">
            <v>S6_120</v>
          </cell>
          <cell r="L32" t="str">
            <v>S1.45 - F1.50</v>
          </cell>
          <cell r="S32">
            <v>150.44</v>
          </cell>
          <cell r="T32">
            <v>154.97999999999999</v>
          </cell>
          <cell r="U32">
            <v>4.54</v>
          </cell>
          <cell r="V32">
            <v>4.54</v>
          </cell>
          <cell r="AL32">
            <v>1.1000000000000001</v>
          </cell>
          <cell r="AM32">
            <v>22.4</v>
          </cell>
          <cell r="AO32">
            <v>16.2</v>
          </cell>
          <cell r="AP32">
            <v>2.16</v>
          </cell>
          <cell r="AT32">
            <v>27.17</v>
          </cell>
          <cell r="AV32">
            <v>6.5</v>
          </cell>
          <cell r="AX32">
            <v>66.599999999999994</v>
          </cell>
          <cell r="AY32">
            <v>3.59</v>
          </cell>
          <cell r="AZ32">
            <v>1.45</v>
          </cell>
          <cell r="BB32">
            <v>3.93</v>
          </cell>
          <cell r="BC32">
            <v>0.11799999999999999</v>
          </cell>
          <cell r="BD32" t="str">
            <v>BV Minerals (Amdel)</v>
          </cell>
          <cell r="BE32" t="str">
            <v>L107165</v>
          </cell>
          <cell r="BG32">
            <v>22.64</v>
          </cell>
          <cell r="BX32">
            <v>83</v>
          </cell>
          <cell r="CA32">
            <v>1480</v>
          </cell>
          <cell r="CB32">
            <v>1510</v>
          </cell>
          <cell r="CC32">
            <v>1530</v>
          </cell>
          <cell r="CD32" t="str">
            <v>+1560</v>
          </cell>
          <cell r="CE32">
            <v>1500</v>
          </cell>
          <cell r="CF32">
            <v>1540</v>
          </cell>
          <cell r="CG32" t="str">
            <v>+1560</v>
          </cell>
          <cell r="CH32" t="str">
            <v>+1560</v>
          </cell>
          <cell r="CI32">
            <v>61.9</v>
          </cell>
          <cell r="CJ32">
            <v>24.5</v>
          </cell>
          <cell r="CK32">
            <v>6</v>
          </cell>
          <cell r="CL32">
            <v>0.88</v>
          </cell>
          <cell r="CM32">
            <v>0.52</v>
          </cell>
          <cell r="CN32">
            <v>0.11</v>
          </cell>
          <cell r="CO32">
            <v>2.09</v>
          </cell>
          <cell r="CP32">
            <v>1.23</v>
          </cell>
          <cell r="CQ32">
            <v>0.03</v>
          </cell>
          <cell r="CR32">
            <v>1.2</v>
          </cell>
          <cell r="CS32">
            <v>0.25</v>
          </cell>
          <cell r="CT32">
            <v>0.35</v>
          </cell>
          <cell r="CU32">
            <v>0.26</v>
          </cell>
          <cell r="CV32">
            <v>0.04</v>
          </cell>
          <cell r="CW32">
            <v>0.03</v>
          </cell>
          <cell r="DA32" t="str">
            <v>L106952</v>
          </cell>
          <cell r="DB32" t="str">
            <v>BV Minerals (Amdel)</v>
          </cell>
          <cell r="DD32">
            <v>2.7</v>
          </cell>
          <cell r="DF32">
            <v>11.1</v>
          </cell>
          <cell r="DK32">
            <v>0.28999999999999998</v>
          </cell>
          <cell r="DP32">
            <v>640</v>
          </cell>
          <cell r="DS32">
            <v>0.46</v>
          </cell>
          <cell r="DX32">
            <v>5</v>
          </cell>
          <cell r="EA32">
            <v>12</v>
          </cell>
          <cell r="ED32">
            <v>1.2</v>
          </cell>
          <cell r="EQ32" t="str">
            <v>L106922</v>
          </cell>
          <cell r="ER32" t="str">
            <v>BV Minerals (Amdel)</v>
          </cell>
          <cell r="EU32" t="str">
            <v>TE</v>
          </cell>
          <cell r="EV32" t="str">
            <v>S1.45F1.50</v>
          </cell>
          <cell r="EW32">
            <v>3.3</v>
          </cell>
          <cell r="FA32">
            <v>0.8</v>
          </cell>
          <cell r="FB32">
            <v>22.5</v>
          </cell>
          <cell r="FC32">
            <v>16.8</v>
          </cell>
          <cell r="FD32">
            <v>2.19</v>
          </cell>
          <cell r="FE32">
            <v>0.11799999999999999</v>
          </cell>
          <cell r="FF32">
            <v>7</v>
          </cell>
          <cell r="FI32" t="str">
            <v>Insufficient sample for Abrasion Index</v>
          </cell>
        </row>
        <row r="33">
          <cell r="A33" t="str">
            <v>85015104CCC18</v>
          </cell>
          <cell r="B33" t="str">
            <v>CCC18</v>
          </cell>
          <cell r="C33">
            <v>85015104</v>
          </cell>
          <cell r="F33">
            <v>1854194</v>
          </cell>
          <cell r="I33" t="str">
            <v>085-093</v>
          </cell>
          <cell r="J33" t="str">
            <v>UCB</v>
          </cell>
          <cell r="K33" t="str">
            <v>S6_120</v>
          </cell>
          <cell r="L33" t="str">
            <v>S1.45 - F1.50</v>
          </cell>
          <cell r="S33">
            <v>154.97999999999999</v>
          </cell>
          <cell r="T33">
            <v>162.47999999999999</v>
          </cell>
          <cell r="U33">
            <v>7.5</v>
          </cell>
          <cell r="V33">
            <v>7.5</v>
          </cell>
          <cell r="AL33">
            <v>0.9</v>
          </cell>
          <cell r="AM33">
            <v>21.9</v>
          </cell>
          <cell r="AO33">
            <v>15.6</v>
          </cell>
          <cell r="AP33">
            <v>2.5</v>
          </cell>
          <cell r="AT33">
            <v>27.31</v>
          </cell>
          <cell r="AV33">
            <v>5</v>
          </cell>
          <cell r="AX33">
            <v>67.2</v>
          </cell>
          <cell r="AY33">
            <v>3.61</v>
          </cell>
          <cell r="AZ33">
            <v>1.37</v>
          </cell>
          <cell r="BB33">
            <v>3.87</v>
          </cell>
          <cell r="BC33">
            <v>1.7999999999999999E-2</v>
          </cell>
          <cell r="BD33" t="str">
            <v>BV Minerals (Amdel)</v>
          </cell>
          <cell r="BE33" t="str">
            <v>L107165</v>
          </cell>
          <cell r="BG33">
            <v>22.09</v>
          </cell>
          <cell r="BI33">
            <v>10.7</v>
          </cell>
          <cell r="BX33">
            <v>83</v>
          </cell>
          <cell r="CA33" t="str">
            <v>+1560</v>
          </cell>
          <cell r="CB33" t="str">
            <v>+1560</v>
          </cell>
          <cell r="CC33" t="str">
            <v>+1560</v>
          </cell>
          <cell r="CD33" t="str">
            <v>+1560</v>
          </cell>
          <cell r="CE33" t="str">
            <v>+1560</v>
          </cell>
          <cell r="CF33" t="str">
            <v>+1560</v>
          </cell>
          <cell r="CG33" t="str">
            <v>+1560</v>
          </cell>
          <cell r="CH33" t="str">
            <v>+1560</v>
          </cell>
          <cell r="CI33">
            <v>63.8</v>
          </cell>
          <cell r="CJ33">
            <v>25.6</v>
          </cell>
          <cell r="CK33">
            <v>5.3</v>
          </cell>
          <cell r="CL33">
            <v>0.33</v>
          </cell>
          <cell r="CM33">
            <v>0.47</v>
          </cell>
          <cell r="CN33">
            <v>0.16</v>
          </cell>
          <cell r="CO33">
            <v>1.75</v>
          </cell>
          <cell r="CP33">
            <v>1.25</v>
          </cell>
          <cell r="CQ33" t="str">
            <v>&lt;0.02</v>
          </cell>
          <cell r="CR33">
            <v>0.19</v>
          </cell>
          <cell r="CS33">
            <v>0.2</v>
          </cell>
          <cell r="CT33">
            <v>7.0000000000000007E-2</v>
          </cell>
          <cell r="CU33">
            <v>0.08</v>
          </cell>
          <cell r="CV33">
            <v>0.03</v>
          </cell>
          <cell r="CW33">
            <v>0.03</v>
          </cell>
          <cell r="DA33" t="str">
            <v>L106952</v>
          </cell>
          <cell r="DB33" t="str">
            <v>BV Minerals (Amdel)</v>
          </cell>
          <cell r="DD33">
            <v>4</v>
          </cell>
          <cell r="DF33">
            <v>15.8</v>
          </cell>
          <cell r="DK33">
            <v>0.23</v>
          </cell>
          <cell r="DP33">
            <v>560</v>
          </cell>
          <cell r="DS33">
            <v>0.26</v>
          </cell>
          <cell r="DX33">
            <v>3</v>
          </cell>
          <cell r="EA33">
            <v>12</v>
          </cell>
          <cell r="ED33">
            <v>0.7</v>
          </cell>
          <cell r="EQ33" t="str">
            <v>L106922</v>
          </cell>
          <cell r="ER33" t="str">
            <v>BV Minerals (Amdel)</v>
          </cell>
          <cell r="EU33" t="str">
            <v>TE</v>
          </cell>
          <cell r="EV33" t="str">
            <v>S1.45F1.50</v>
          </cell>
          <cell r="EW33">
            <v>8.6</v>
          </cell>
          <cell r="FA33">
            <v>0.8</v>
          </cell>
          <cell r="FB33">
            <v>22</v>
          </cell>
          <cell r="FC33">
            <v>16</v>
          </cell>
          <cell r="FD33">
            <v>2.5499999999999998</v>
          </cell>
          <cell r="FE33">
            <v>1.7999999999999999E-2</v>
          </cell>
          <cell r="FF33">
            <v>6</v>
          </cell>
        </row>
        <row r="34">
          <cell r="A34" t="str">
            <v>85015104CCC19</v>
          </cell>
          <cell r="B34" t="str">
            <v>CCC19</v>
          </cell>
          <cell r="C34">
            <v>85015104</v>
          </cell>
          <cell r="F34">
            <v>1854195</v>
          </cell>
          <cell r="I34" t="str">
            <v>094-102</v>
          </cell>
          <cell r="J34" t="str">
            <v>UCB</v>
          </cell>
          <cell r="K34" t="str">
            <v>S6_120</v>
          </cell>
          <cell r="L34" t="str">
            <v>S1.45 - F1.50</v>
          </cell>
          <cell r="S34">
            <v>162.47999999999999</v>
          </cell>
          <cell r="T34">
            <v>170.02</v>
          </cell>
          <cell r="U34">
            <v>7.45</v>
          </cell>
          <cell r="V34">
            <v>7.54</v>
          </cell>
          <cell r="AL34">
            <v>1</v>
          </cell>
          <cell r="AM34">
            <v>22.9</v>
          </cell>
          <cell r="AO34">
            <v>15.8</v>
          </cell>
          <cell r="AP34">
            <v>1.4</v>
          </cell>
          <cell r="AT34">
            <v>26.93</v>
          </cell>
          <cell r="AV34">
            <v>3</v>
          </cell>
          <cell r="AX34">
            <v>66.099999999999994</v>
          </cell>
          <cell r="AY34">
            <v>3.53</v>
          </cell>
          <cell r="AZ34">
            <v>1.35</v>
          </cell>
          <cell r="BB34">
            <v>3.86</v>
          </cell>
          <cell r="BC34">
            <v>0.11899999999999999</v>
          </cell>
          <cell r="BD34" t="str">
            <v>BV Minerals (Amdel)</v>
          </cell>
          <cell r="BE34" t="str">
            <v>L107165</v>
          </cell>
          <cell r="BG34">
            <v>23.26</v>
          </cell>
          <cell r="BI34">
            <v>15.3</v>
          </cell>
          <cell r="BX34">
            <v>78</v>
          </cell>
          <cell r="CA34" t="str">
            <v>+1560</v>
          </cell>
          <cell r="CB34" t="str">
            <v>+1560</v>
          </cell>
          <cell r="CC34" t="str">
            <v>+1560</v>
          </cell>
          <cell r="CD34" t="str">
            <v>+1560</v>
          </cell>
          <cell r="CE34" t="str">
            <v>+1560</v>
          </cell>
          <cell r="CF34" t="str">
            <v>+1560</v>
          </cell>
          <cell r="CG34" t="str">
            <v>+1560</v>
          </cell>
          <cell r="CH34" t="str">
            <v>+1560</v>
          </cell>
          <cell r="CI34">
            <v>62</v>
          </cell>
          <cell r="CJ34">
            <v>26.7</v>
          </cell>
          <cell r="CK34">
            <v>2.27</v>
          </cell>
          <cell r="CL34">
            <v>1.6</v>
          </cell>
          <cell r="CM34">
            <v>0.7</v>
          </cell>
          <cell r="CN34">
            <v>0.2</v>
          </cell>
          <cell r="CO34">
            <v>1.43</v>
          </cell>
          <cell r="CP34">
            <v>1.37</v>
          </cell>
          <cell r="CQ34" t="str">
            <v>&lt;0.02</v>
          </cell>
          <cell r="CR34">
            <v>1.2</v>
          </cell>
          <cell r="CS34">
            <v>0.88</v>
          </cell>
          <cell r="CT34">
            <v>0.32</v>
          </cell>
          <cell r="CU34">
            <v>0.32</v>
          </cell>
          <cell r="CV34">
            <v>0.03</v>
          </cell>
          <cell r="CW34">
            <v>0.03</v>
          </cell>
          <cell r="DA34" t="str">
            <v>L106968</v>
          </cell>
          <cell r="DB34" t="str">
            <v>BV Minerals (Amdel)</v>
          </cell>
          <cell r="DD34">
            <v>1.9</v>
          </cell>
          <cell r="DF34">
            <v>16</v>
          </cell>
          <cell r="DK34">
            <v>0.28000000000000003</v>
          </cell>
          <cell r="DP34">
            <v>810</v>
          </cell>
          <cell r="DS34">
            <v>0.17</v>
          </cell>
          <cell r="DX34">
            <v>3</v>
          </cell>
          <cell r="EA34">
            <v>14</v>
          </cell>
          <cell r="ED34">
            <v>0.6</v>
          </cell>
          <cell r="EQ34" t="str">
            <v>L106922</v>
          </cell>
          <cell r="ER34" t="str">
            <v>BV Minerals (Amdel)</v>
          </cell>
          <cell r="EU34" t="str">
            <v>TE</v>
          </cell>
          <cell r="EV34" t="str">
            <v>S1.45F1.50</v>
          </cell>
          <cell r="EW34">
            <v>9.6</v>
          </cell>
          <cell r="FA34">
            <v>0.8</v>
          </cell>
          <cell r="FB34">
            <v>22.4</v>
          </cell>
          <cell r="FC34">
            <v>15.8</v>
          </cell>
          <cell r="FD34">
            <v>1.4</v>
          </cell>
          <cell r="FE34">
            <v>0.121</v>
          </cell>
          <cell r="FF34">
            <v>3.5</v>
          </cell>
        </row>
        <row r="35">
          <cell r="A35" t="str">
            <v>85015104CCC20</v>
          </cell>
          <cell r="B35" t="str">
            <v>CCC20</v>
          </cell>
          <cell r="C35">
            <v>85015104</v>
          </cell>
          <cell r="F35">
            <v>1854196</v>
          </cell>
          <cell r="I35" t="str">
            <v>106-109</v>
          </cell>
          <cell r="J35" t="str">
            <v>MCM</v>
          </cell>
          <cell r="K35" t="str">
            <v>S6_120</v>
          </cell>
          <cell r="L35" t="str">
            <v>S1.45 - F1.50</v>
          </cell>
          <cell r="S35">
            <v>171.73</v>
          </cell>
          <cell r="T35">
            <v>174.14</v>
          </cell>
          <cell r="U35">
            <v>2.4099999999999966</v>
          </cell>
          <cell r="V35">
            <v>2.4099999999999966</v>
          </cell>
          <cell r="AL35">
            <v>1</v>
          </cell>
          <cell r="AM35">
            <v>22</v>
          </cell>
          <cell r="AO35">
            <v>16.3</v>
          </cell>
          <cell r="AP35">
            <v>1.04</v>
          </cell>
          <cell r="AT35">
            <v>27.29</v>
          </cell>
          <cell r="AV35">
            <v>4</v>
          </cell>
          <cell r="AX35">
            <v>67.099999999999994</v>
          </cell>
          <cell r="AY35">
            <v>3.59</v>
          </cell>
          <cell r="AZ35">
            <v>1.41</v>
          </cell>
          <cell r="BB35">
            <v>3.91</v>
          </cell>
          <cell r="BC35">
            <v>0.34799999999999998</v>
          </cell>
          <cell r="BD35" t="str">
            <v>BV Minerals (Amdel)</v>
          </cell>
          <cell r="BE35" t="str">
            <v>L107165</v>
          </cell>
          <cell r="BG35">
            <v>22.29</v>
          </cell>
          <cell r="BX35">
            <v>75</v>
          </cell>
          <cell r="CA35">
            <v>1420</v>
          </cell>
          <cell r="CB35">
            <v>1450</v>
          </cell>
          <cell r="CC35">
            <v>1520</v>
          </cell>
          <cell r="CD35" t="str">
            <v>+1560</v>
          </cell>
          <cell r="CE35">
            <v>1430</v>
          </cell>
          <cell r="CF35">
            <v>1470</v>
          </cell>
          <cell r="CG35">
            <v>1530</v>
          </cell>
          <cell r="CH35" t="str">
            <v>+1560</v>
          </cell>
          <cell r="CI35">
            <v>57.5</v>
          </cell>
          <cell r="CJ35">
            <v>26.8</v>
          </cell>
          <cell r="CK35">
            <v>2.41</v>
          </cell>
          <cell r="CL35">
            <v>4.21</v>
          </cell>
          <cell r="CM35">
            <v>0.41</v>
          </cell>
          <cell r="CN35">
            <v>0.13</v>
          </cell>
          <cell r="CO35">
            <v>1.59</v>
          </cell>
          <cell r="CP35">
            <v>1.7</v>
          </cell>
          <cell r="CQ35" t="str">
            <v>&lt;0.02</v>
          </cell>
          <cell r="CR35">
            <v>3.58</v>
          </cell>
          <cell r="CS35">
            <v>0.34</v>
          </cell>
          <cell r="CT35">
            <v>0.21</v>
          </cell>
          <cell r="CU35">
            <v>0.27</v>
          </cell>
          <cell r="CV35">
            <v>7.0000000000000007E-2</v>
          </cell>
          <cell r="CW35">
            <v>0.06</v>
          </cell>
          <cell r="DA35" t="str">
            <v>L106952</v>
          </cell>
          <cell r="DB35" t="str">
            <v>BV Minerals (Amdel)</v>
          </cell>
          <cell r="DD35">
            <v>2.6</v>
          </cell>
          <cell r="DF35">
            <v>12</v>
          </cell>
          <cell r="DK35">
            <v>0.46</v>
          </cell>
          <cell r="DP35">
            <v>1100</v>
          </cell>
          <cell r="DS35">
            <v>0.17</v>
          </cell>
          <cell r="DX35">
            <v>5</v>
          </cell>
          <cell r="EA35">
            <v>19</v>
          </cell>
          <cell r="ED35">
            <v>1.1000000000000001</v>
          </cell>
          <cell r="EQ35" t="str">
            <v>L106922</v>
          </cell>
          <cell r="ER35" t="str">
            <v>BV Minerals (Amdel)</v>
          </cell>
          <cell r="EU35" t="str">
            <v>TE</v>
          </cell>
          <cell r="EV35" t="str">
            <v>S1.45F1.50</v>
          </cell>
          <cell r="EW35">
            <v>4.3</v>
          </cell>
          <cell r="FA35">
            <v>0.9</v>
          </cell>
          <cell r="FB35">
            <v>22</v>
          </cell>
          <cell r="FC35">
            <v>16.2</v>
          </cell>
          <cell r="FD35">
            <v>1.04</v>
          </cell>
          <cell r="FE35">
            <v>0.34899999999999998</v>
          </cell>
          <cell r="FF35">
            <v>4.5</v>
          </cell>
          <cell r="FI35" t="str">
            <v>Insufficient sample for Abrasion Index</v>
          </cell>
        </row>
        <row r="36">
          <cell r="A36" t="str">
            <v>85015104CCC21</v>
          </cell>
          <cell r="B36" t="str">
            <v>CCC21</v>
          </cell>
          <cell r="C36">
            <v>85015104</v>
          </cell>
          <cell r="F36">
            <v>1854197</v>
          </cell>
          <cell r="I36" t="str">
            <v>112-122</v>
          </cell>
          <cell r="J36" t="str">
            <v>LCUT_LCUB</v>
          </cell>
          <cell r="K36" t="str">
            <v>S6_120</v>
          </cell>
          <cell r="L36" t="str">
            <v>S1.45 - F1.50</v>
          </cell>
          <cell r="S36">
            <v>175.13</v>
          </cell>
          <cell r="T36">
            <v>180.19</v>
          </cell>
          <cell r="U36">
            <v>5.01</v>
          </cell>
          <cell r="V36">
            <v>5.0600000000000023</v>
          </cell>
          <cell r="AL36">
            <v>1.1000000000000001</v>
          </cell>
          <cell r="AM36">
            <v>22.6</v>
          </cell>
          <cell r="AO36">
            <v>16.3</v>
          </cell>
          <cell r="AP36">
            <v>0.79</v>
          </cell>
          <cell r="AT36">
            <v>27.32</v>
          </cell>
          <cell r="AV36">
            <v>3.5</v>
          </cell>
          <cell r="AX36">
            <v>67.3</v>
          </cell>
          <cell r="AY36">
            <v>3.5900000000000003</v>
          </cell>
          <cell r="AZ36">
            <v>1.54</v>
          </cell>
          <cell r="BB36">
            <v>3.89</v>
          </cell>
          <cell r="BC36">
            <v>0.17100000000000001</v>
          </cell>
          <cell r="BD36" t="str">
            <v>BV Minerals (Amdel)</v>
          </cell>
          <cell r="BE36" t="str">
            <v>L107165</v>
          </cell>
          <cell r="BG36">
            <v>22.51</v>
          </cell>
          <cell r="BI36">
            <v>11.6</v>
          </cell>
          <cell r="BX36">
            <v>77</v>
          </cell>
          <cell r="CA36">
            <v>1400</v>
          </cell>
          <cell r="CB36">
            <v>1450</v>
          </cell>
          <cell r="CC36">
            <v>1480</v>
          </cell>
          <cell r="CD36">
            <v>1500</v>
          </cell>
          <cell r="CE36">
            <v>1460</v>
          </cell>
          <cell r="CF36">
            <v>1480</v>
          </cell>
          <cell r="CG36">
            <v>1520</v>
          </cell>
          <cell r="CH36">
            <v>1540</v>
          </cell>
          <cell r="CI36">
            <v>60.3</v>
          </cell>
          <cell r="CJ36">
            <v>24.9</v>
          </cell>
          <cell r="CK36">
            <v>1.83</v>
          </cell>
          <cell r="CL36">
            <v>4.05</v>
          </cell>
          <cell r="CM36">
            <v>1.0900000000000001</v>
          </cell>
          <cell r="CN36">
            <v>0.21</v>
          </cell>
          <cell r="CO36">
            <v>1.41</v>
          </cell>
          <cell r="CP36">
            <v>1.5</v>
          </cell>
          <cell r="CQ36">
            <v>0.02</v>
          </cell>
          <cell r="CR36">
            <v>1.77</v>
          </cell>
          <cell r="CS36">
            <v>1.08</v>
          </cell>
          <cell r="CT36">
            <v>0.14000000000000001</v>
          </cell>
          <cell r="CU36">
            <v>0.21</v>
          </cell>
          <cell r="CV36">
            <v>0.03</v>
          </cell>
          <cell r="CW36">
            <v>0.05</v>
          </cell>
          <cell r="DA36" t="str">
            <v>L107196</v>
          </cell>
          <cell r="DB36" t="str">
            <v>BV Minerals (Amdel)</v>
          </cell>
          <cell r="DD36">
            <v>1.6</v>
          </cell>
          <cell r="DF36">
            <v>12.2</v>
          </cell>
          <cell r="DK36">
            <v>0.23</v>
          </cell>
          <cell r="DP36">
            <v>560</v>
          </cell>
          <cell r="DS36">
            <v>0.1</v>
          </cell>
          <cell r="DX36">
            <v>3</v>
          </cell>
          <cell r="EA36">
            <v>14</v>
          </cell>
          <cell r="ED36">
            <v>0.8</v>
          </cell>
          <cell r="EQ36" t="str">
            <v>L107196</v>
          </cell>
          <cell r="ER36" t="str">
            <v>BV Minerals (Amdel)</v>
          </cell>
          <cell r="EU36" t="str">
            <v>TE</v>
          </cell>
          <cell r="EV36" t="str">
            <v>S1.45F1.50</v>
          </cell>
          <cell r="EW36">
            <v>9.1</v>
          </cell>
          <cell r="FA36">
            <v>0.9</v>
          </cell>
          <cell r="FB36">
            <v>22.1</v>
          </cell>
          <cell r="FC36">
            <v>16.2</v>
          </cell>
          <cell r="FD36">
            <v>0.78</v>
          </cell>
          <cell r="FE36">
            <v>0.17</v>
          </cell>
          <cell r="FF36">
            <v>4</v>
          </cell>
        </row>
        <row r="37">
          <cell r="A37" t="str">
            <v>85015104CCC22</v>
          </cell>
          <cell r="B37" t="str">
            <v>CCC22</v>
          </cell>
          <cell r="C37">
            <v>85015104</v>
          </cell>
          <cell r="F37">
            <v>1854198</v>
          </cell>
          <cell r="I37" t="str">
            <v>123-127</v>
          </cell>
          <cell r="J37" t="str">
            <v>LC45_LC46</v>
          </cell>
          <cell r="K37" t="str">
            <v>S6_120</v>
          </cell>
          <cell r="L37" t="str">
            <v>S1.45 - F1.50</v>
          </cell>
          <cell r="S37">
            <v>180.19</v>
          </cell>
          <cell r="T37">
            <v>182.71</v>
          </cell>
          <cell r="U37">
            <v>2.52</v>
          </cell>
          <cell r="V37">
            <v>5.52</v>
          </cell>
          <cell r="AL37">
            <v>1.2</v>
          </cell>
          <cell r="AM37">
            <v>22.6</v>
          </cell>
          <cell r="AO37">
            <v>15.4</v>
          </cell>
          <cell r="AP37">
            <v>0.65</v>
          </cell>
          <cell r="AT37">
            <v>27.29</v>
          </cell>
          <cell r="AV37">
            <v>4</v>
          </cell>
          <cell r="AX37">
            <v>67.099999999999994</v>
          </cell>
          <cell r="AY37">
            <v>3.54</v>
          </cell>
          <cell r="AZ37">
            <v>1.61</v>
          </cell>
          <cell r="BB37">
            <v>3.85</v>
          </cell>
          <cell r="BC37">
            <v>6.0000000000000001E-3</v>
          </cell>
          <cell r="BD37" t="str">
            <v>BV Minerals (Amdel)</v>
          </cell>
          <cell r="BE37" t="str">
            <v>L107165</v>
          </cell>
          <cell r="BG37">
            <v>22.84</v>
          </cell>
          <cell r="BI37">
            <v>12.8</v>
          </cell>
          <cell r="BX37">
            <v>75</v>
          </cell>
          <cell r="CA37">
            <v>1500</v>
          </cell>
          <cell r="CB37" t="str">
            <v>+1560</v>
          </cell>
          <cell r="CC37" t="str">
            <v>+1560</v>
          </cell>
          <cell r="CD37" t="str">
            <v>+1560</v>
          </cell>
          <cell r="CE37" t="str">
            <v>+1560</v>
          </cell>
          <cell r="CF37" t="str">
            <v>+1560</v>
          </cell>
          <cell r="CG37" t="str">
            <v>+1560</v>
          </cell>
          <cell r="CH37" t="str">
            <v>+1560</v>
          </cell>
          <cell r="CI37">
            <v>69.400000000000006</v>
          </cell>
          <cell r="CJ37">
            <v>21.8</v>
          </cell>
          <cell r="CK37">
            <v>0.92</v>
          </cell>
          <cell r="CL37">
            <v>0.56000000000000005</v>
          </cell>
          <cell r="CM37">
            <v>0.48</v>
          </cell>
          <cell r="CN37">
            <v>1.0900000000000001</v>
          </cell>
          <cell r="CO37">
            <v>3.2</v>
          </cell>
          <cell r="CP37">
            <v>0.99</v>
          </cell>
          <cell r="CQ37" t="str">
            <v>&lt;0.02</v>
          </cell>
          <cell r="CR37">
            <v>0.1</v>
          </cell>
          <cell r="CS37">
            <v>1.07</v>
          </cell>
          <cell r="CT37" t="str">
            <v>&lt;0.02</v>
          </cell>
          <cell r="CU37">
            <v>0.05</v>
          </cell>
          <cell r="CV37" t="str">
            <v>&lt;0.02</v>
          </cell>
          <cell r="CW37">
            <v>0.03</v>
          </cell>
          <cell r="DA37" t="str">
            <v>L106952</v>
          </cell>
          <cell r="DB37" t="str">
            <v>BV Minerals (Amdel)</v>
          </cell>
          <cell r="DD37">
            <v>0.5</v>
          </cell>
          <cell r="DF37">
            <v>13.3</v>
          </cell>
          <cell r="DK37">
            <v>0.15</v>
          </cell>
          <cell r="DP37">
            <v>150</v>
          </cell>
          <cell r="DS37">
            <v>0.04</v>
          </cell>
          <cell r="DX37" t="str">
            <v>&lt;2</v>
          </cell>
          <cell r="EA37">
            <v>7.5</v>
          </cell>
          <cell r="ED37">
            <v>0.5</v>
          </cell>
          <cell r="EQ37" t="str">
            <v>L106922</v>
          </cell>
          <cell r="ER37" t="str">
            <v>BV Minerals (Amdel)</v>
          </cell>
          <cell r="EU37" t="str">
            <v>TE</v>
          </cell>
          <cell r="EV37" t="str">
            <v>S1.45F1.50</v>
          </cell>
          <cell r="EW37">
            <v>23.2</v>
          </cell>
          <cell r="FA37">
            <v>1</v>
          </cell>
          <cell r="FB37">
            <v>22.6</v>
          </cell>
          <cell r="FC37">
            <v>15.2</v>
          </cell>
          <cell r="FD37">
            <v>0.66</v>
          </cell>
          <cell r="FE37">
            <v>7.0000000000000001E-3</v>
          </cell>
          <cell r="FF37">
            <v>5</v>
          </cell>
        </row>
        <row r="38">
          <cell r="A38" t="str">
            <v/>
          </cell>
          <cell r="I38" t="str">
            <v/>
          </cell>
          <cell r="J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DB38" t="str">
            <v>BV Minerals (Amdel)</v>
          </cell>
          <cell r="ER38" t="str">
            <v>BV Minerals (Amdel)</v>
          </cell>
        </row>
        <row r="39">
          <cell r="A39" t="str">
            <v>85015104CCC23</v>
          </cell>
          <cell r="B39" t="str">
            <v>CCC23</v>
          </cell>
          <cell r="C39">
            <v>85015104</v>
          </cell>
          <cell r="F39">
            <v>1851896</v>
          </cell>
          <cell r="H39" t="str">
            <v>domestic thermal</v>
          </cell>
          <cell r="I39" t="str">
            <v>002-029</v>
          </cell>
          <cell r="J39" t="str">
            <v>BNU1_BNU2</v>
          </cell>
          <cell r="K39" t="str">
            <v>S6_120</v>
          </cell>
          <cell r="L39" t="str">
            <v>S1.50 - F1.90</v>
          </cell>
          <cell r="S39">
            <v>12.66</v>
          </cell>
          <cell r="T39">
            <v>27.38</v>
          </cell>
          <cell r="U39">
            <v>14.719999999999999</v>
          </cell>
          <cell r="V39">
            <v>14.719999999999999</v>
          </cell>
          <cell r="AL39">
            <v>1.3</v>
          </cell>
          <cell r="AM39">
            <v>41.3</v>
          </cell>
          <cell r="AO39">
            <v>16.399999999999999</v>
          </cell>
          <cell r="AP39">
            <v>0.94</v>
          </cell>
          <cell r="AT39">
            <v>19.59</v>
          </cell>
          <cell r="AV39">
            <v>1</v>
          </cell>
          <cell r="AX39">
            <v>47.4</v>
          </cell>
          <cell r="AY39">
            <v>2.9</v>
          </cell>
          <cell r="AZ39">
            <v>1.24</v>
          </cell>
          <cell r="BB39">
            <v>3.24</v>
          </cell>
          <cell r="BC39">
            <v>0.14199999999999999</v>
          </cell>
          <cell r="BD39" t="str">
            <v>BV Minerals (Amdel)</v>
          </cell>
          <cell r="BE39" t="str">
            <v>L107165</v>
          </cell>
          <cell r="BG39">
            <v>41.73</v>
          </cell>
          <cell r="BI39">
            <v>31.8</v>
          </cell>
          <cell r="BX39">
            <v>70</v>
          </cell>
          <cell r="CA39">
            <v>1470</v>
          </cell>
          <cell r="CB39">
            <v>1540</v>
          </cell>
          <cell r="CC39">
            <v>1550</v>
          </cell>
          <cell r="CD39" t="str">
            <v>+1560</v>
          </cell>
          <cell r="CE39">
            <v>1540</v>
          </cell>
          <cell r="CF39" t="str">
            <v>+1560</v>
          </cell>
          <cell r="CG39" t="str">
            <v>+1560</v>
          </cell>
          <cell r="CH39" t="str">
            <v>+1560</v>
          </cell>
          <cell r="CI39">
            <v>64.599999999999994</v>
          </cell>
          <cell r="CJ39">
            <v>24.2</v>
          </cell>
          <cell r="CK39">
            <v>3.57</v>
          </cell>
          <cell r="CL39">
            <v>1.48</v>
          </cell>
          <cell r="CM39">
            <v>0.74</v>
          </cell>
          <cell r="CN39">
            <v>0.13</v>
          </cell>
          <cell r="CO39">
            <v>2.42</v>
          </cell>
          <cell r="CP39">
            <v>1.04</v>
          </cell>
          <cell r="CQ39">
            <v>0.03</v>
          </cell>
          <cell r="CR39">
            <v>0.82</v>
          </cell>
          <cell r="CS39">
            <v>0.63</v>
          </cell>
          <cell r="CT39">
            <v>0.06</v>
          </cell>
          <cell r="CU39">
            <v>7.0000000000000007E-2</v>
          </cell>
          <cell r="CV39" t="str">
            <v>&lt;0.02</v>
          </cell>
          <cell r="CW39">
            <v>0.02</v>
          </cell>
          <cell r="DA39" t="str">
            <v>L106918</v>
          </cell>
          <cell r="DB39" t="str">
            <v>BV Minerals (Amdel)</v>
          </cell>
          <cell r="DD39">
            <v>3.3</v>
          </cell>
          <cell r="DF39">
            <v>16.600000000000001</v>
          </cell>
          <cell r="DK39">
            <v>0.31</v>
          </cell>
          <cell r="DP39">
            <v>590</v>
          </cell>
          <cell r="DS39">
            <v>0.15</v>
          </cell>
          <cell r="DX39">
            <v>3</v>
          </cell>
          <cell r="EA39">
            <v>19</v>
          </cell>
          <cell r="ED39">
            <v>0.6</v>
          </cell>
          <cell r="EQ39" t="str">
            <v>L106905</v>
          </cell>
          <cell r="ER39" t="str">
            <v>BV Minerals (Amdel)</v>
          </cell>
          <cell r="EU39" t="str">
            <v>TD</v>
          </cell>
          <cell r="EV39" t="str">
            <v>S1.50F1.90</v>
          </cell>
          <cell r="EW39">
            <v>28.1</v>
          </cell>
          <cell r="FA39">
            <v>1.2</v>
          </cell>
          <cell r="FB39">
            <v>41.7</v>
          </cell>
          <cell r="FC39">
            <v>16.600000000000001</v>
          </cell>
          <cell r="FD39">
            <v>0.89</v>
          </cell>
          <cell r="FE39">
            <v>0.14499999999999999</v>
          </cell>
        </row>
        <row r="40">
          <cell r="A40" t="str">
            <v>85015104CCC24</v>
          </cell>
          <cell r="B40" t="str">
            <v>CCC24</v>
          </cell>
          <cell r="C40">
            <v>85015104</v>
          </cell>
          <cell r="F40">
            <v>1851897</v>
          </cell>
          <cell r="I40" t="str">
            <v>032-049</v>
          </cell>
          <cell r="J40" t="str">
            <v>BNL1_BNL2</v>
          </cell>
          <cell r="K40" t="str">
            <v>S6_120</v>
          </cell>
          <cell r="L40" t="str">
            <v>S1.50 - F1.90</v>
          </cell>
          <cell r="S40">
            <v>75.59</v>
          </cell>
          <cell r="T40">
            <v>87.8</v>
          </cell>
          <cell r="U40">
            <v>11.629999999999995</v>
          </cell>
          <cell r="V40">
            <v>12.209999999999994</v>
          </cell>
          <cell r="AL40">
            <v>1.1000000000000001</v>
          </cell>
          <cell r="AM40">
            <v>43.8</v>
          </cell>
          <cell r="AO40">
            <v>15.5</v>
          </cell>
          <cell r="AP40">
            <v>0.49</v>
          </cell>
          <cell r="AT40">
            <v>18.79</v>
          </cell>
          <cell r="AV40">
            <v>1</v>
          </cell>
          <cell r="AX40">
            <v>46.3</v>
          </cell>
          <cell r="AY40">
            <v>2.75</v>
          </cell>
          <cell r="AZ40">
            <v>1.18</v>
          </cell>
          <cell r="BB40">
            <v>3.14</v>
          </cell>
          <cell r="BC40">
            <v>0.19500000000000001</v>
          </cell>
          <cell r="BD40" t="str">
            <v>BV Minerals (Amdel)</v>
          </cell>
          <cell r="BE40" t="str">
            <v>L107165</v>
          </cell>
          <cell r="BG40">
            <v>43.89</v>
          </cell>
          <cell r="BI40">
            <v>34.9</v>
          </cell>
          <cell r="BX40">
            <v>69</v>
          </cell>
          <cell r="CA40">
            <v>1400</v>
          </cell>
          <cell r="CB40">
            <v>1490</v>
          </cell>
          <cell r="CC40">
            <v>1510</v>
          </cell>
          <cell r="CD40">
            <v>1540</v>
          </cell>
          <cell r="CE40">
            <v>1470</v>
          </cell>
          <cell r="CF40">
            <v>1500</v>
          </cell>
          <cell r="CG40">
            <v>1530</v>
          </cell>
          <cell r="CH40" t="str">
            <v>+1560</v>
          </cell>
          <cell r="CI40">
            <v>62.6</v>
          </cell>
          <cell r="CJ40">
            <v>23.7</v>
          </cell>
          <cell r="CK40">
            <v>3.87</v>
          </cell>
          <cell r="CL40">
            <v>1.85</v>
          </cell>
          <cell r="CM40">
            <v>0.99</v>
          </cell>
          <cell r="CN40">
            <v>0.11</v>
          </cell>
          <cell r="CO40">
            <v>2.71</v>
          </cell>
          <cell r="CP40">
            <v>0.99</v>
          </cell>
          <cell r="CQ40">
            <v>0.04</v>
          </cell>
          <cell r="CR40">
            <v>1.02</v>
          </cell>
          <cell r="CS40">
            <v>0.83</v>
          </cell>
          <cell r="CT40">
            <v>7.0000000000000007E-2</v>
          </cell>
          <cell r="CU40">
            <v>0.16</v>
          </cell>
          <cell r="CV40">
            <v>0.03</v>
          </cell>
          <cell r="CW40">
            <v>0.03</v>
          </cell>
          <cell r="DA40" t="str">
            <v>L106952</v>
          </cell>
          <cell r="DB40" t="str">
            <v>BV Minerals (Amdel)</v>
          </cell>
          <cell r="DD40">
            <v>3.9</v>
          </cell>
          <cell r="DF40">
            <v>21.5</v>
          </cell>
          <cell r="DK40">
            <v>0.32</v>
          </cell>
          <cell r="DP40">
            <v>590</v>
          </cell>
          <cell r="DS40">
            <v>0.11</v>
          </cell>
          <cell r="DX40">
            <v>3</v>
          </cell>
          <cell r="EA40">
            <v>21</v>
          </cell>
          <cell r="ED40">
            <v>0.5</v>
          </cell>
          <cell r="EQ40" t="str">
            <v>L106960</v>
          </cell>
          <cell r="ER40" t="str">
            <v>BV Minerals (Amdel)</v>
          </cell>
          <cell r="EU40" t="str">
            <v>TD</v>
          </cell>
          <cell r="EV40" t="str">
            <v>S1.50F1.90</v>
          </cell>
          <cell r="EW40">
            <v>30</v>
          </cell>
          <cell r="FA40">
            <v>1</v>
          </cell>
          <cell r="FB40">
            <v>43.5</v>
          </cell>
          <cell r="FC40">
            <v>15.8</v>
          </cell>
          <cell r="FD40">
            <v>0.51</v>
          </cell>
          <cell r="FE40">
            <v>0.19800000000000001</v>
          </cell>
        </row>
        <row r="41">
          <cell r="A41" t="str">
            <v>85015104CCC25</v>
          </cell>
          <cell r="B41" t="str">
            <v>CCC25</v>
          </cell>
          <cell r="C41">
            <v>85015104</v>
          </cell>
          <cell r="F41">
            <v>1851898</v>
          </cell>
          <cell r="I41" t="str">
            <v>050-069</v>
          </cell>
          <cell r="J41" t="str">
            <v>BNL2_BNL3</v>
          </cell>
          <cell r="K41" t="str">
            <v>S6_120</v>
          </cell>
          <cell r="L41" t="str">
            <v>S1.50 - F1.90</v>
          </cell>
          <cell r="S41">
            <v>87.85</v>
          </cell>
          <cell r="T41">
            <v>99.25</v>
          </cell>
          <cell r="U41">
            <v>11.210000000000008</v>
          </cell>
          <cell r="V41">
            <v>11.400000000000006</v>
          </cell>
          <cell r="AL41">
            <v>1.2</v>
          </cell>
          <cell r="AM41">
            <v>40.799999999999997</v>
          </cell>
          <cell r="AO41">
            <v>15.3</v>
          </cell>
          <cell r="AP41">
            <v>0.54</v>
          </cell>
          <cell r="AT41">
            <v>19.899999999999999</v>
          </cell>
          <cell r="AV41">
            <v>1</v>
          </cell>
          <cell r="AX41">
            <v>49</v>
          </cell>
          <cell r="AY41">
            <v>2.84</v>
          </cell>
          <cell r="AZ41">
            <v>1.08</v>
          </cell>
          <cell r="BB41">
            <v>3.21</v>
          </cell>
          <cell r="BC41">
            <v>6.3E-2</v>
          </cell>
          <cell r="BD41" t="str">
            <v>BV Minerals (Amdel)</v>
          </cell>
          <cell r="BE41" t="str">
            <v>L107165</v>
          </cell>
          <cell r="BG41">
            <v>41.33</v>
          </cell>
          <cell r="BI41">
            <v>31.4</v>
          </cell>
          <cell r="BX41">
            <v>69</v>
          </cell>
          <cell r="CA41">
            <v>1550</v>
          </cell>
          <cell r="CB41" t="str">
            <v>+1560</v>
          </cell>
          <cell r="CC41" t="str">
            <v>+1560</v>
          </cell>
          <cell r="CD41" t="str">
            <v>+1560</v>
          </cell>
          <cell r="CE41" t="str">
            <v>+1560</v>
          </cell>
          <cell r="CF41" t="str">
            <v>+1560</v>
          </cell>
          <cell r="CG41" t="str">
            <v>+1560</v>
          </cell>
          <cell r="CH41" t="str">
            <v>+1560</v>
          </cell>
          <cell r="CI41">
            <v>65.3</v>
          </cell>
          <cell r="CJ41">
            <v>26.2</v>
          </cell>
          <cell r="CK41">
            <v>2.4</v>
          </cell>
          <cell r="CL41">
            <v>0.84</v>
          </cell>
          <cell r="CM41">
            <v>0.74</v>
          </cell>
          <cell r="CN41">
            <v>0.09</v>
          </cell>
          <cell r="CO41">
            <v>2.46</v>
          </cell>
          <cell r="CP41">
            <v>1.08</v>
          </cell>
          <cell r="CQ41">
            <v>0.02</v>
          </cell>
          <cell r="CR41">
            <v>0.35</v>
          </cell>
          <cell r="CS41">
            <v>0.59</v>
          </cell>
          <cell r="CT41">
            <v>0.06</v>
          </cell>
          <cell r="CU41">
            <v>0.1</v>
          </cell>
          <cell r="CV41" t="str">
            <v>&lt;0.02</v>
          </cell>
          <cell r="CW41">
            <v>0.02</v>
          </cell>
          <cell r="DA41" t="str">
            <v>L106918</v>
          </cell>
          <cell r="DB41" t="str">
            <v>BV Minerals (Amdel)</v>
          </cell>
          <cell r="DD41">
            <v>3.5</v>
          </cell>
          <cell r="DF41">
            <v>19.899999999999999</v>
          </cell>
          <cell r="DK41">
            <v>0.39</v>
          </cell>
          <cell r="DP41">
            <v>600</v>
          </cell>
          <cell r="DS41">
            <v>0.08</v>
          </cell>
          <cell r="DX41">
            <v>4</v>
          </cell>
          <cell r="EA41">
            <v>19</v>
          </cell>
          <cell r="ED41">
            <v>0.7</v>
          </cell>
          <cell r="EQ41" t="str">
            <v>L106905</v>
          </cell>
          <cell r="ER41" t="str">
            <v>BV Minerals (Amdel)</v>
          </cell>
          <cell r="EU41" t="str">
            <v>TD</v>
          </cell>
          <cell r="EV41" t="str">
            <v>S1.50F1.90</v>
          </cell>
          <cell r="EW41">
            <v>41.3</v>
          </cell>
          <cell r="FA41">
            <v>0.9</v>
          </cell>
          <cell r="FB41">
            <v>41.3</v>
          </cell>
          <cell r="FC41">
            <v>15.6</v>
          </cell>
          <cell r="FD41">
            <v>0.54</v>
          </cell>
          <cell r="FE41">
            <v>6.2E-2</v>
          </cell>
        </row>
        <row r="42">
          <cell r="A42" t="str">
            <v>85015104CCC26</v>
          </cell>
          <cell r="B42" t="str">
            <v>CCC26</v>
          </cell>
          <cell r="C42">
            <v>85015104</v>
          </cell>
          <cell r="F42">
            <v>1851899</v>
          </cell>
          <cell r="I42" t="str">
            <v>072-075</v>
          </cell>
          <cell r="J42" t="str">
            <v>BR</v>
          </cell>
          <cell r="K42" t="str">
            <v>S6_120</v>
          </cell>
          <cell r="L42" t="str">
            <v>S1.50 - F1.90</v>
          </cell>
          <cell r="S42">
            <v>116.5</v>
          </cell>
          <cell r="T42">
            <v>119.03</v>
          </cell>
          <cell r="U42">
            <v>2.5300000000000011</v>
          </cell>
          <cell r="V42">
            <v>2.5300000000000011</v>
          </cell>
          <cell r="AL42">
            <v>1.2</v>
          </cell>
          <cell r="AM42">
            <v>37.299999999999997</v>
          </cell>
          <cell r="AO42">
            <v>14.6</v>
          </cell>
          <cell r="AP42">
            <v>0.75</v>
          </cell>
          <cell r="AT42">
            <v>21.37</v>
          </cell>
          <cell r="AV42">
            <v>1</v>
          </cell>
          <cell r="AX42">
            <v>52.4</v>
          </cell>
          <cell r="AY42">
            <v>2.94</v>
          </cell>
          <cell r="AZ42">
            <v>1.21</v>
          </cell>
          <cell r="BB42">
            <v>3.32</v>
          </cell>
          <cell r="BC42">
            <v>0.224</v>
          </cell>
          <cell r="BD42" t="str">
            <v>BV Minerals (Amdel)</v>
          </cell>
          <cell r="BE42" t="str">
            <v>L107165</v>
          </cell>
          <cell r="BG42">
            <v>37.64</v>
          </cell>
          <cell r="BI42">
            <v>26.7</v>
          </cell>
          <cell r="BX42">
            <v>69</v>
          </cell>
          <cell r="CA42">
            <v>1490</v>
          </cell>
          <cell r="CB42" t="str">
            <v>+1560</v>
          </cell>
          <cell r="CC42" t="str">
            <v>+1560</v>
          </cell>
          <cell r="CD42" t="str">
            <v>+1560</v>
          </cell>
          <cell r="CE42" t="str">
            <v>+1560</v>
          </cell>
          <cell r="CF42" t="str">
            <v>+1560</v>
          </cell>
          <cell r="CG42" t="str">
            <v>+1560</v>
          </cell>
          <cell r="CH42" t="str">
            <v>+1560</v>
          </cell>
          <cell r="CI42">
            <v>64.7</v>
          </cell>
          <cell r="CJ42">
            <v>25.6</v>
          </cell>
          <cell r="CK42">
            <v>1.44</v>
          </cell>
          <cell r="CL42">
            <v>1.6</v>
          </cell>
          <cell r="CM42">
            <v>0.5</v>
          </cell>
          <cell r="CN42">
            <v>0.08</v>
          </cell>
          <cell r="CO42">
            <v>2.88</v>
          </cell>
          <cell r="CP42">
            <v>1.1200000000000001</v>
          </cell>
          <cell r="CQ42" t="str">
            <v>&lt;0.02</v>
          </cell>
          <cell r="CR42">
            <v>1.43</v>
          </cell>
          <cell r="CS42">
            <v>7.0000000000000007E-2</v>
          </cell>
          <cell r="CT42">
            <v>0.11</v>
          </cell>
          <cell r="CU42">
            <v>0.1</v>
          </cell>
          <cell r="CV42" t="str">
            <v>&lt;0.02</v>
          </cell>
          <cell r="CW42">
            <v>0.02</v>
          </cell>
          <cell r="DA42" t="str">
            <v>L106918</v>
          </cell>
          <cell r="DB42" t="str">
            <v>BV Minerals (Amdel)</v>
          </cell>
          <cell r="DD42">
            <v>3.7</v>
          </cell>
          <cell r="DF42">
            <v>8.6</v>
          </cell>
          <cell r="DK42">
            <v>0.33</v>
          </cell>
          <cell r="DP42">
            <v>880</v>
          </cell>
          <cell r="DS42">
            <v>0.12</v>
          </cell>
          <cell r="DX42">
            <v>3</v>
          </cell>
          <cell r="EA42">
            <v>17</v>
          </cell>
          <cell r="ED42">
            <v>0.8</v>
          </cell>
          <cell r="EQ42" t="str">
            <v>L106905</v>
          </cell>
          <cell r="ER42" t="str">
            <v>BV Minerals (Amdel)</v>
          </cell>
          <cell r="EU42" t="str">
            <v>TD</v>
          </cell>
          <cell r="EV42" t="str">
            <v>S1.50F1.90</v>
          </cell>
          <cell r="EW42">
            <v>40.799999999999997</v>
          </cell>
          <cell r="FA42">
            <v>1.1000000000000001</v>
          </cell>
          <cell r="FB42">
            <v>37.6</v>
          </cell>
          <cell r="FC42">
            <v>14.7</v>
          </cell>
          <cell r="FD42">
            <v>0.72</v>
          </cell>
          <cell r="FE42">
            <v>0.222</v>
          </cell>
        </row>
        <row r="43">
          <cell r="A43" t="str">
            <v>85015104CCC27</v>
          </cell>
          <cell r="B43" t="str">
            <v>CCC27</v>
          </cell>
          <cell r="C43">
            <v>85015104</v>
          </cell>
          <cell r="F43">
            <v>1851900</v>
          </cell>
          <cell r="I43" t="str">
            <v>078-084</v>
          </cell>
          <cell r="J43" t="str">
            <v>UCT</v>
          </cell>
          <cell r="K43" t="str">
            <v>S6_120</v>
          </cell>
          <cell r="L43" t="str">
            <v>S1.50 - F1.90</v>
          </cell>
          <cell r="S43">
            <v>150.44</v>
          </cell>
          <cell r="T43">
            <v>154.97999999999999</v>
          </cell>
          <cell r="U43">
            <v>4.539999999999992</v>
          </cell>
          <cell r="V43">
            <v>4.539999999999992</v>
          </cell>
          <cell r="AL43">
            <v>1.2</v>
          </cell>
          <cell r="AM43">
            <v>42.4</v>
          </cell>
          <cell r="AO43">
            <v>13.2</v>
          </cell>
          <cell r="AP43">
            <v>1.5</v>
          </cell>
          <cell r="AT43">
            <v>19.32</v>
          </cell>
          <cell r="AV43">
            <v>1</v>
          </cell>
          <cell r="AX43">
            <v>47.7</v>
          </cell>
          <cell r="AY43">
            <v>2.66</v>
          </cell>
          <cell r="AZ43">
            <v>1.05</v>
          </cell>
          <cell r="BB43">
            <v>3.05</v>
          </cell>
          <cell r="BC43">
            <v>9.6000000000000002E-2</v>
          </cell>
          <cell r="BD43" t="str">
            <v>BV Minerals (Amdel)</v>
          </cell>
          <cell r="BE43" t="str">
            <v>L107165</v>
          </cell>
          <cell r="BG43">
            <v>42.78</v>
          </cell>
          <cell r="BI43">
            <v>38.200000000000003</v>
          </cell>
          <cell r="BX43">
            <v>68</v>
          </cell>
          <cell r="CA43" t="str">
            <v>+1560</v>
          </cell>
          <cell r="CB43" t="str">
            <v>+1560</v>
          </cell>
          <cell r="CC43" t="str">
            <v>+1560</v>
          </cell>
          <cell r="CD43" t="str">
            <v>+1560</v>
          </cell>
          <cell r="CE43" t="str">
            <v>+1560</v>
          </cell>
          <cell r="CF43" t="str">
            <v>+1560</v>
          </cell>
          <cell r="CG43" t="str">
            <v>+1560</v>
          </cell>
          <cell r="CH43" t="str">
            <v>+1560</v>
          </cell>
          <cell r="CI43">
            <v>66.5</v>
          </cell>
          <cell r="CJ43">
            <v>25.2</v>
          </cell>
          <cell r="CK43">
            <v>3.04</v>
          </cell>
          <cell r="CL43">
            <v>0.49</v>
          </cell>
          <cell r="CM43">
            <v>0.54</v>
          </cell>
          <cell r="CN43">
            <v>0.13</v>
          </cell>
          <cell r="CO43">
            <v>2.31</v>
          </cell>
          <cell r="CP43">
            <v>1.18</v>
          </cell>
          <cell r="CQ43" t="str">
            <v>&lt;0.02</v>
          </cell>
          <cell r="CR43">
            <v>0.51</v>
          </cell>
          <cell r="CS43">
            <v>0.13</v>
          </cell>
          <cell r="CT43">
            <v>0.13</v>
          </cell>
          <cell r="CU43">
            <v>0.13</v>
          </cell>
          <cell r="CV43" t="str">
            <v>&lt;0.02</v>
          </cell>
          <cell r="CW43">
            <v>0.02</v>
          </cell>
          <cell r="DA43" t="str">
            <v>L106918</v>
          </cell>
          <cell r="DB43" t="str">
            <v>BV Minerals (Amdel)</v>
          </cell>
          <cell r="DD43">
            <v>3.2</v>
          </cell>
          <cell r="DF43">
            <v>17.3</v>
          </cell>
          <cell r="DK43">
            <v>0.38</v>
          </cell>
          <cell r="DP43">
            <v>940</v>
          </cell>
          <cell r="DS43">
            <v>0.33</v>
          </cell>
          <cell r="DX43">
            <v>5</v>
          </cell>
          <cell r="EA43">
            <v>21</v>
          </cell>
          <cell r="ED43">
            <v>1.3</v>
          </cell>
          <cell r="EQ43" t="str">
            <v>L106905</v>
          </cell>
          <cell r="ER43" t="str">
            <v>BV Minerals (Amdel)</v>
          </cell>
          <cell r="EU43" t="str">
            <v>TD</v>
          </cell>
          <cell r="EV43" t="str">
            <v>S1.50F1.90</v>
          </cell>
          <cell r="EW43">
            <v>38.700000000000003</v>
          </cell>
          <cell r="FA43">
            <v>0.9</v>
          </cell>
          <cell r="FB43">
            <v>42.7</v>
          </cell>
          <cell r="FC43">
            <v>13.6</v>
          </cell>
          <cell r="FD43">
            <v>1.54</v>
          </cell>
          <cell r="FE43">
            <v>9.6000000000000002E-2</v>
          </cell>
        </row>
        <row r="44">
          <cell r="A44" t="str">
            <v>85015104CCC28</v>
          </cell>
          <cell r="B44" t="str">
            <v>CCC28</v>
          </cell>
          <cell r="C44">
            <v>85015104</v>
          </cell>
          <cell r="F44">
            <v>1851901</v>
          </cell>
          <cell r="I44" t="str">
            <v>085-093</v>
          </cell>
          <cell r="J44" t="str">
            <v>UCB</v>
          </cell>
          <cell r="K44" t="str">
            <v>S6_120</v>
          </cell>
          <cell r="L44" t="str">
            <v>S1.50 - F1.90</v>
          </cell>
          <cell r="S44">
            <v>154.97999999999999</v>
          </cell>
          <cell r="T44">
            <v>162.47999999999999</v>
          </cell>
          <cell r="U44">
            <v>7.5</v>
          </cell>
          <cell r="V44">
            <v>7.5</v>
          </cell>
          <cell r="AL44">
            <v>1.1000000000000001</v>
          </cell>
          <cell r="AM44">
            <v>38.5</v>
          </cell>
          <cell r="AO44">
            <v>14</v>
          </cell>
          <cell r="AP44">
            <v>2.46</v>
          </cell>
          <cell r="AT44">
            <v>20.57</v>
          </cell>
          <cell r="AV44">
            <v>1</v>
          </cell>
          <cell r="AX44">
            <v>50.6</v>
          </cell>
          <cell r="AY44">
            <v>2.87</v>
          </cell>
          <cell r="AZ44">
            <v>1.19</v>
          </cell>
          <cell r="BB44">
            <v>3.18</v>
          </cell>
          <cell r="BC44">
            <v>2.8000000000000001E-2</v>
          </cell>
          <cell r="BD44" t="str">
            <v>BV Minerals (Amdel)</v>
          </cell>
          <cell r="BE44" t="str">
            <v>L107165</v>
          </cell>
          <cell r="BG44">
            <v>38.840000000000003</v>
          </cell>
          <cell r="BI44">
            <v>31</v>
          </cell>
          <cell r="BX44">
            <v>67</v>
          </cell>
          <cell r="CA44">
            <v>1530</v>
          </cell>
          <cell r="CB44" t="str">
            <v>+1560</v>
          </cell>
          <cell r="CC44" t="str">
            <v>+1560</v>
          </cell>
          <cell r="CD44" t="str">
            <v>+1560</v>
          </cell>
          <cell r="CE44" t="str">
            <v>+1560</v>
          </cell>
          <cell r="CF44" t="str">
            <v>+1560</v>
          </cell>
          <cell r="CG44" t="str">
            <v>+1560</v>
          </cell>
          <cell r="CH44" t="str">
            <v>+1560</v>
          </cell>
          <cell r="CI44">
            <v>64.400000000000006</v>
          </cell>
          <cell r="CJ44">
            <v>25.9</v>
          </cell>
          <cell r="CK44">
            <v>4.63</v>
          </cell>
          <cell r="CL44">
            <v>0.41</v>
          </cell>
          <cell r="CM44">
            <v>0.55000000000000004</v>
          </cell>
          <cell r="CN44">
            <v>0.2</v>
          </cell>
          <cell r="CO44">
            <v>1.83</v>
          </cell>
          <cell r="CP44">
            <v>1.0900000000000001</v>
          </cell>
          <cell r="CQ44" t="str">
            <v>&lt;0.02</v>
          </cell>
          <cell r="CR44">
            <v>0.17</v>
          </cell>
          <cell r="CS44">
            <v>0.18</v>
          </cell>
          <cell r="CT44">
            <v>0.05</v>
          </cell>
          <cell r="CU44">
            <v>0.06</v>
          </cell>
          <cell r="CV44" t="str">
            <v>&lt;0.02</v>
          </cell>
          <cell r="CW44" t="str">
            <v>&lt;0.02</v>
          </cell>
          <cell r="DA44" t="str">
            <v>L106918</v>
          </cell>
          <cell r="DB44" t="str">
            <v>BV Minerals (Amdel)</v>
          </cell>
          <cell r="DD44">
            <v>6.3</v>
          </cell>
          <cell r="DF44">
            <v>27.9</v>
          </cell>
          <cell r="DK44">
            <v>0.24</v>
          </cell>
          <cell r="DP44">
            <v>1000</v>
          </cell>
          <cell r="DS44">
            <v>0.39</v>
          </cell>
          <cell r="DX44">
            <v>3</v>
          </cell>
          <cell r="EA44">
            <v>18</v>
          </cell>
          <cell r="ED44">
            <v>1</v>
          </cell>
          <cell r="EQ44" t="str">
            <v>L106905</v>
          </cell>
          <cell r="ER44" t="str">
            <v>BV Minerals (Amdel)</v>
          </cell>
          <cell r="EU44" t="str">
            <v>TD</v>
          </cell>
          <cell r="EV44" t="str">
            <v>S1.50F1.90</v>
          </cell>
          <cell r="EW44">
            <v>53.9</v>
          </cell>
          <cell r="FA44">
            <v>0.9</v>
          </cell>
          <cell r="FB44">
            <v>38.799999999999997</v>
          </cell>
          <cell r="FC44">
            <v>13.7</v>
          </cell>
          <cell r="FD44">
            <v>2.5</v>
          </cell>
          <cell r="FE44">
            <v>2.8000000000000001E-2</v>
          </cell>
        </row>
        <row r="45">
          <cell r="A45" t="str">
            <v>85015104CCC29</v>
          </cell>
          <cell r="B45" t="str">
            <v>CCC29</v>
          </cell>
          <cell r="C45">
            <v>85015104</v>
          </cell>
          <cell r="F45">
            <v>1851902</v>
          </cell>
          <cell r="I45" t="str">
            <v>094-102</v>
          </cell>
          <cell r="J45" t="str">
            <v>UCB</v>
          </cell>
          <cell r="K45" t="str">
            <v>S6_120</v>
          </cell>
          <cell r="L45" t="str">
            <v>S1.50 - F1.90</v>
          </cell>
          <cell r="S45">
            <v>162.47999999999999</v>
          </cell>
          <cell r="T45">
            <v>170.02</v>
          </cell>
          <cell r="U45">
            <v>7.4500000000000455</v>
          </cell>
          <cell r="V45">
            <v>7.5400000000000205</v>
          </cell>
          <cell r="AL45">
            <v>1</v>
          </cell>
          <cell r="AM45">
            <v>39.6</v>
          </cell>
          <cell r="AO45">
            <v>14</v>
          </cell>
          <cell r="AP45">
            <v>1.0900000000000001</v>
          </cell>
          <cell r="AT45">
            <v>20.38</v>
          </cell>
          <cell r="AV45">
            <v>1</v>
          </cell>
          <cell r="AX45">
            <v>50.1</v>
          </cell>
          <cell r="AY45">
            <v>2.84</v>
          </cell>
          <cell r="AZ45">
            <v>1.17</v>
          </cell>
          <cell r="BB45">
            <v>3.21</v>
          </cell>
          <cell r="BC45">
            <v>0.124</v>
          </cell>
          <cell r="BD45" t="str">
            <v>BV Minerals (Amdel)</v>
          </cell>
          <cell r="BE45" t="str">
            <v>L107165</v>
          </cell>
          <cell r="BG45">
            <v>39.82</v>
          </cell>
          <cell r="BI45">
            <v>30.1</v>
          </cell>
          <cell r="BX45">
            <v>70</v>
          </cell>
          <cell r="CA45" t="str">
            <v>+1560</v>
          </cell>
          <cell r="CB45" t="str">
            <v>+1560</v>
          </cell>
          <cell r="CC45" t="str">
            <v>+1560</v>
          </cell>
          <cell r="CD45" t="str">
            <v>+1560</v>
          </cell>
          <cell r="CE45" t="str">
            <v>+1560</v>
          </cell>
          <cell r="CF45" t="str">
            <v>+1560</v>
          </cell>
          <cell r="CG45" t="str">
            <v>+1560</v>
          </cell>
          <cell r="CH45" t="str">
            <v>+1560</v>
          </cell>
          <cell r="CI45">
            <v>64.099999999999994</v>
          </cell>
          <cell r="CJ45">
            <v>28.1</v>
          </cell>
          <cell r="CK45">
            <v>1.54</v>
          </cell>
          <cell r="CL45">
            <v>0.95</v>
          </cell>
          <cell r="CM45">
            <v>0.53</v>
          </cell>
          <cell r="CN45">
            <v>0.2</v>
          </cell>
          <cell r="CO45">
            <v>1.37</v>
          </cell>
          <cell r="CP45">
            <v>1.18</v>
          </cell>
          <cell r="CQ45" t="str">
            <v>&lt;0.02</v>
          </cell>
          <cell r="CR45">
            <v>0.7</v>
          </cell>
          <cell r="CS45">
            <v>0.5</v>
          </cell>
          <cell r="CT45">
            <v>0.19</v>
          </cell>
          <cell r="CU45">
            <v>0.18</v>
          </cell>
          <cell r="CV45" t="str">
            <v>&lt;0.02</v>
          </cell>
          <cell r="CW45">
            <v>0.03</v>
          </cell>
          <cell r="DA45" t="str">
            <v>L106968</v>
          </cell>
          <cell r="DB45" t="str">
            <v>BV Minerals (Amdel)</v>
          </cell>
          <cell r="DD45">
            <v>3.4</v>
          </cell>
          <cell r="DF45">
            <v>26</v>
          </cell>
          <cell r="DK45">
            <v>0.26</v>
          </cell>
          <cell r="DP45">
            <v>1100</v>
          </cell>
          <cell r="DS45">
            <v>0.17</v>
          </cell>
          <cell r="DX45">
            <v>3</v>
          </cell>
          <cell r="EA45">
            <v>34</v>
          </cell>
          <cell r="ED45">
            <v>0.7</v>
          </cell>
          <cell r="EQ45" t="str">
            <v>L106960</v>
          </cell>
          <cell r="ER45" t="str">
            <v>BV Minerals (Amdel)</v>
          </cell>
          <cell r="EU45" t="str">
            <v>TD</v>
          </cell>
          <cell r="EV45" t="str">
            <v>S1.50F1.90</v>
          </cell>
          <cell r="EW45">
            <v>44.1</v>
          </cell>
          <cell r="FA45">
            <v>0.8</v>
          </cell>
          <cell r="FB45">
            <v>39.6</v>
          </cell>
          <cell r="FC45">
            <v>13.7</v>
          </cell>
          <cell r="FD45">
            <v>1.06</v>
          </cell>
          <cell r="FE45">
            <v>0.122</v>
          </cell>
        </row>
        <row r="46">
          <cell r="A46" t="str">
            <v>85015104CCC30</v>
          </cell>
          <cell r="B46" t="str">
            <v>CCC30</v>
          </cell>
          <cell r="C46">
            <v>85015104</v>
          </cell>
          <cell r="F46">
            <v>1851903</v>
          </cell>
          <cell r="I46" t="str">
            <v>106-109</v>
          </cell>
          <cell r="J46" t="str">
            <v>MCM</v>
          </cell>
          <cell r="K46" t="str">
            <v>S6_120</v>
          </cell>
          <cell r="L46" t="str">
            <v>S1.50 - F1.90</v>
          </cell>
          <cell r="S46">
            <v>171.73</v>
          </cell>
          <cell r="T46">
            <v>174.14</v>
          </cell>
          <cell r="U46">
            <v>2.4099999999999966</v>
          </cell>
          <cell r="V46">
            <v>2.4099999999999966</v>
          </cell>
          <cell r="AL46">
            <v>1.1000000000000001</v>
          </cell>
          <cell r="AM46">
            <v>41.4</v>
          </cell>
          <cell r="AO46">
            <v>13.5</v>
          </cell>
          <cell r="AP46">
            <v>0.79</v>
          </cell>
          <cell r="AT46">
            <v>19.45</v>
          </cell>
          <cell r="AV46">
            <v>1</v>
          </cell>
          <cell r="AX46">
            <v>48.4</v>
          </cell>
          <cell r="AY46">
            <v>2.74</v>
          </cell>
          <cell r="AZ46">
            <v>1.08</v>
          </cell>
          <cell r="BB46">
            <v>3.14</v>
          </cell>
          <cell r="BC46">
            <v>0.371</v>
          </cell>
          <cell r="BD46" t="str">
            <v>BV Minerals (Amdel)</v>
          </cell>
          <cell r="BE46" t="str">
            <v>L107165</v>
          </cell>
          <cell r="BG46">
            <v>41.8</v>
          </cell>
          <cell r="BI46">
            <v>28.8</v>
          </cell>
          <cell r="BX46">
            <v>63</v>
          </cell>
          <cell r="CA46" t="str">
            <v>+1560</v>
          </cell>
          <cell r="CB46" t="str">
            <v>+1560</v>
          </cell>
          <cell r="CC46" t="str">
            <v>+1560</v>
          </cell>
          <cell r="CD46" t="str">
            <v>+1560</v>
          </cell>
          <cell r="CE46" t="str">
            <v>+1560</v>
          </cell>
          <cell r="CF46" t="str">
            <v>+1560</v>
          </cell>
          <cell r="CG46" t="str">
            <v>+1560</v>
          </cell>
          <cell r="CH46" t="str">
            <v>+1560</v>
          </cell>
          <cell r="CI46">
            <v>61.2</v>
          </cell>
          <cell r="CJ46">
            <v>28.4</v>
          </cell>
          <cell r="CK46">
            <v>1.67</v>
          </cell>
          <cell r="CL46">
            <v>2.58</v>
          </cell>
          <cell r="CM46">
            <v>0.41</v>
          </cell>
          <cell r="CN46">
            <v>0.1</v>
          </cell>
          <cell r="CO46">
            <v>1.46</v>
          </cell>
          <cell r="CP46">
            <v>1.42</v>
          </cell>
          <cell r="CQ46" t="str">
            <v>&lt;0.02</v>
          </cell>
          <cell r="CR46">
            <v>2.06</v>
          </cell>
          <cell r="CS46">
            <v>0.19</v>
          </cell>
          <cell r="CT46">
            <v>0.14000000000000001</v>
          </cell>
          <cell r="CU46">
            <v>0.16</v>
          </cell>
          <cell r="CV46">
            <v>0.02</v>
          </cell>
          <cell r="CW46">
            <v>0.03</v>
          </cell>
          <cell r="DA46" t="str">
            <v>L106918</v>
          </cell>
          <cell r="DB46" t="str">
            <v>BV Minerals (Amdel)</v>
          </cell>
          <cell r="DD46">
            <v>2.7</v>
          </cell>
          <cell r="DF46">
            <v>18.100000000000001</v>
          </cell>
          <cell r="DK46">
            <v>0.38</v>
          </cell>
          <cell r="DP46">
            <v>1500</v>
          </cell>
          <cell r="DS46">
            <v>0.12</v>
          </cell>
          <cell r="DX46">
            <v>5</v>
          </cell>
          <cell r="EA46">
            <v>25</v>
          </cell>
          <cell r="ED46">
            <v>1.3</v>
          </cell>
          <cell r="EQ46" t="str">
            <v>L106905</v>
          </cell>
          <cell r="ER46" t="str">
            <v>BV Minerals (Amdel)</v>
          </cell>
          <cell r="EU46" t="str">
            <v>TD</v>
          </cell>
          <cell r="EV46" t="str">
            <v>S1.50F1.90</v>
          </cell>
          <cell r="EW46">
            <v>32</v>
          </cell>
          <cell r="FA46">
            <v>0.9</v>
          </cell>
          <cell r="FB46">
            <v>41.4</v>
          </cell>
          <cell r="FC46">
            <v>13.9</v>
          </cell>
          <cell r="FD46">
            <v>0.81</v>
          </cell>
          <cell r="FE46">
            <v>0.38300000000000001</v>
          </cell>
        </row>
        <row r="47">
          <cell r="A47" t="str">
            <v>85015104CCC31</v>
          </cell>
          <cell r="B47" t="str">
            <v>CCC31</v>
          </cell>
          <cell r="C47">
            <v>85015104</v>
          </cell>
          <cell r="F47">
            <v>1851904</v>
          </cell>
          <cell r="I47" t="str">
            <v>112-122</v>
          </cell>
          <cell r="J47" t="str">
            <v>LCUT_LCUB</v>
          </cell>
          <cell r="K47" t="str">
            <v>S6_120</v>
          </cell>
          <cell r="L47" t="str">
            <v>S1.50 - F1.90</v>
          </cell>
          <cell r="S47">
            <v>175.13</v>
          </cell>
          <cell r="T47">
            <v>180.19</v>
          </cell>
          <cell r="U47">
            <v>5.0099999999999909</v>
          </cell>
          <cell r="V47">
            <v>5.0600000000000023</v>
          </cell>
          <cell r="AL47">
            <v>1.2</v>
          </cell>
          <cell r="AM47">
            <v>40</v>
          </cell>
          <cell r="AO47">
            <v>14</v>
          </cell>
          <cell r="AP47">
            <v>0.53</v>
          </cell>
          <cell r="AT47">
            <v>19.97</v>
          </cell>
          <cell r="AV47">
            <v>1</v>
          </cell>
          <cell r="AX47">
            <v>49.7</v>
          </cell>
          <cell r="AY47">
            <v>2.77</v>
          </cell>
          <cell r="AZ47">
            <v>1.19</v>
          </cell>
          <cell r="BB47">
            <v>3.15</v>
          </cell>
          <cell r="BC47">
            <v>0.22</v>
          </cell>
          <cell r="BD47" t="str">
            <v>BV Minerals (Amdel)</v>
          </cell>
          <cell r="BE47" t="str">
            <v>L107165</v>
          </cell>
          <cell r="BG47">
            <v>40.54</v>
          </cell>
          <cell r="BI47">
            <v>31.6</v>
          </cell>
          <cell r="BX47">
            <v>67</v>
          </cell>
          <cell r="CA47" t="str">
            <v>+1560</v>
          </cell>
          <cell r="CB47" t="str">
            <v>+1560</v>
          </cell>
          <cell r="CC47" t="str">
            <v>+1560</v>
          </cell>
          <cell r="CD47" t="str">
            <v>+1560</v>
          </cell>
          <cell r="CE47" t="str">
            <v>+1560</v>
          </cell>
          <cell r="CF47" t="str">
            <v>+1560</v>
          </cell>
          <cell r="CG47" t="str">
            <v>+1560</v>
          </cell>
          <cell r="CH47" t="str">
            <v>+1560</v>
          </cell>
          <cell r="CI47">
            <v>62.9</v>
          </cell>
          <cell r="CJ47">
            <v>27.4</v>
          </cell>
          <cell r="CK47">
            <v>1.26</v>
          </cell>
          <cell r="CL47">
            <v>2.37</v>
          </cell>
          <cell r="CM47">
            <v>0.73</v>
          </cell>
          <cell r="CN47">
            <v>0.13</v>
          </cell>
          <cell r="CO47">
            <v>1.28</v>
          </cell>
          <cell r="CP47">
            <v>1.24</v>
          </cell>
          <cell r="CQ47" t="str">
            <v>&lt;0.02</v>
          </cell>
          <cell r="CR47">
            <v>1.26</v>
          </cell>
          <cell r="CS47">
            <v>0.62</v>
          </cell>
          <cell r="CT47">
            <v>0.13</v>
          </cell>
          <cell r="CU47">
            <v>0.16</v>
          </cell>
          <cell r="CV47" t="str">
            <v>&lt;0.02</v>
          </cell>
          <cell r="CW47" t="str">
            <v>&lt;0.02</v>
          </cell>
          <cell r="DA47" t="str">
            <v>L106952</v>
          </cell>
          <cell r="DB47" t="str">
            <v>BV Minerals (Amdel)</v>
          </cell>
          <cell r="DD47">
            <v>2.2999999999999998</v>
          </cell>
          <cell r="DF47">
            <v>20.8</v>
          </cell>
          <cell r="DK47">
            <v>0.24</v>
          </cell>
          <cell r="DP47">
            <v>830</v>
          </cell>
          <cell r="DS47">
            <v>0.06</v>
          </cell>
          <cell r="DX47">
            <v>3</v>
          </cell>
          <cell r="EA47">
            <v>18</v>
          </cell>
          <cell r="ED47">
            <v>1</v>
          </cell>
          <cell r="EQ47" t="str">
            <v>L106960</v>
          </cell>
          <cell r="ER47" t="str">
            <v>BV Minerals (Amdel)</v>
          </cell>
          <cell r="EU47" t="str">
            <v>TD</v>
          </cell>
          <cell r="EV47" t="str">
            <v>S1.50F1.90</v>
          </cell>
          <cell r="EW47">
            <v>47.1</v>
          </cell>
          <cell r="FA47">
            <v>0.9</v>
          </cell>
          <cell r="FB47">
            <v>40.200000000000003</v>
          </cell>
          <cell r="FC47">
            <v>13.9</v>
          </cell>
          <cell r="FD47">
            <v>0.56000000000000005</v>
          </cell>
          <cell r="FE47">
            <v>0.219</v>
          </cell>
        </row>
        <row r="48">
          <cell r="A48" t="str">
            <v>85015104CCC32</v>
          </cell>
          <cell r="B48" t="str">
            <v>CCC32</v>
          </cell>
          <cell r="C48">
            <v>85015104</v>
          </cell>
          <cell r="F48">
            <v>1851905</v>
          </cell>
          <cell r="I48" t="str">
            <v>123-127</v>
          </cell>
          <cell r="J48" t="str">
            <v>LC45_LC46</v>
          </cell>
          <cell r="K48" t="str">
            <v>S6_120</v>
          </cell>
          <cell r="L48" t="str">
            <v>S1.50 - F1.90</v>
          </cell>
          <cell r="S48">
            <v>180.19</v>
          </cell>
          <cell r="T48">
            <v>182.71</v>
          </cell>
          <cell r="U48">
            <v>2.5200000000000102</v>
          </cell>
          <cell r="V48">
            <v>2.5200000000000102</v>
          </cell>
          <cell r="AL48">
            <v>1.1000000000000001</v>
          </cell>
          <cell r="AM48">
            <v>32.700000000000003</v>
          </cell>
          <cell r="AO48">
            <v>14.1</v>
          </cell>
          <cell r="AP48">
            <v>0.52</v>
          </cell>
          <cell r="AT48">
            <v>23.16</v>
          </cell>
          <cell r="AV48">
            <v>1</v>
          </cell>
          <cell r="AX48">
            <v>57.4</v>
          </cell>
          <cell r="AY48">
            <v>3.02</v>
          </cell>
          <cell r="AZ48">
            <v>1.41</v>
          </cell>
          <cell r="BB48">
            <v>3.38</v>
          </cell>
          <cell r="BC48">
            <v>8.0000000000000002E-3</v>
          </cell>
          <cell r="BD48" t="str">
            <v>BV Minerals (Amdel)</v>
          </cell>
          <cell r="BE48" t="str">
            <v>L107165</v>
          </cell>
          <cell r="BG48">
            <v>33.380000000000003</v>
          </cell>
          <cell r="BI48">
            <v>25.8</v>
          </cell>
          <cell r="BX48">
            <v>69</v>
          </cell>
          <cell r="CA48">
            <v>1450</v>
          </cell>
          <cell r="CB48">
            <v>1530</v>
          </cell>
          <cell r="CC48">
            <v>1550</v>
          </cell>
          <cell r="CD48" t="str">
            <v>+1560</v>
          </cell>
          <cell r="CE48">
            <v>1470</v>
          </cell>
          <cell r="CF48">
            <v>1530</v>
          </cell>
          <cell r="CG48" t="str">
            <v>+1560</v>
          </cell>
          <cell r="CH48" t="str">
            <v>+1560</v>
          </cell>
          <cell r="CI48">
            <v>70.099999999999994</v>
          </cell>
          <cell r="CJ48">
            <v>21.2</v>
          </cell>
          <cell r="CK48">
            <v>1.51</v>
          </cell>
          <cell r="CL48">
            <v>1.79</v>
          </cell>
          <cell r="CM48">
            <v>1.08</v>
          </cell>
          <cell r="CN48">
            <v>0.24</v>
          </cell>
          <cell r="CO48">
            <v>1.84</v>
          </cell>
          <cell r="CP48">
            <v>0.91</v>
          </cell>
          <cell r="CQ48" t="str">
            <v>&lt;0.02</v>
          </cell>
          <cell r="CR48">
            <v>7.0000000000000007E-2</v>
          </cell>
          <cell r="CS48">
            <v>0.97</v>
          </cell>
          <cell r="CT48">
            <v>0.04</v>
          </cell>
          <cell r="CU48">
            <v>0.05</v>
          </cell>
          <cell r="CV48" t="str">
            <v>&lt;0.02</v>
          </cell>
          <cell r="CW48">
            <v>0.02</v>
          </cell>
          <cell r="DA48" t="str">
            <v>L106918</v>
          </cell>
          <cell r="DB48" t="str">
            <v>BV Minerals (Amdel)</v>
          </cell>
          <cell r="DD48">
            <v>0.6</v>
          </cell>
          <cell r="DF48">
            <v>17</v>
          </cell>
          <cell r="DK48">
            <v>0.18</v>
          </cell>
          <cell r="DP48">
            <v>270</v>
          </cell>
          <cell r="DS48">
            <v>0.05</v>
          </cell>
          <cell r="DX48" t="str">
            <v>&lt;2</v>
          </cell>
          <cell r="EA48">
            <v>10</v>
          </cell>
          <cell r="ED48">
            <v>0.5</v>
          </cell>
          <cell r="EQ48" t="str">
            <v>L106905</v>
          </cell>
          <cell r="ER48" t="str">
            <v>BV Minerals (Amdel)</v>
          </cell>
          <cell r="EU48" t="str">
            <v>TD</v>
          </cell>
          <cell r="EV48" t="str">
            <v>S1.50F1.90</v>
          </cell>
          <cell r="EW48">
            <v>22.7</v>
          </cell>
          <cell r="FA48">
            <v>0.9</v>
          </cell>
          <cell r="FB48">
            <v>32.799999999999997</v>
          </cell>
          <cell r="FC48">
            <v>14.2</v>
          </cell>
          <cell r="FD48">
            <v>0.55000000000000004</v>
          </cell>
          <cell r="FE48">
            <v>8.9999999999999993E-3</v>
          </cell>
        </row>
        <row r="49">
          <cell r="I49" t="str">
            <v/>
          </cell>
          <cell r="J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</row>
        <row r="50">
          <cell r="AV50" t="str">
            <v>ALL CHECKED CAME OUT SAME</v>
          </cell>
          <cell r="AY50" t="str">
            <v>ALL REPEATED</v>
          </cell>
          <cell r="CG50" t="str">
            <v xml:space="preserve">IDENT             </v>
          </cell>
          <cell r="CH50" t="str">
            <v xml:space="preserve">Description                                               </v>
          </cell>
          <cell r="CI50" t="str">
            <v xml:space="preserve">SiO2                </v>
          </cell>
          <cell r="CJ50" t="str">
            <v xml:space="preserve">Al2O3               </v>
          </cell>
          <cell r="CK50" t="str">
            <v xml:space="preserve">Fe2O3               </v>
          </cell>
          <cell r="CL50" t="str">
            <v xml:space="preserve">CaO                 </v>
          </cell>
          <cell r="CM50" t="str">
            <v xml:space="preserve">MgO                 </v>
          </cell>
          <cell r="CN50" t="str">
            <v xml:space="preserve">Na2O                </v>
          </cell>
          <cell r="CO50" t="str">
            <v xml:space="preserve">K2O                 </v>
          </cell>
          <cell r="CP50" t="str">
            <v xml:space="preserve">TiO2                </v>
          </cell>
          <cell r="CQ50" t="str">
            <v xml:space="preserve">Mn3O4               </v>
          </cell>
          <cell r="CR50" t="str">
            <v xml:space="preserve">P2O5                </v>
          </cell>
          <cell r="CS50" t="str">
            <v xml:space="preserve">SO3                 </v>
          </cell>
          <cell r="CT50" t="str">
            <v xml:space="preserve">SrO                 </v>
          </cell>
          <cell r="CU50" t="str">
            <v xml:space="preserve">BaO                 </v>
          </cell>
          <cell r="CV50" t="str">
            <v xml:space="preserve">ZnO                 </v>
          </cell>
          <cell r="CW50" t="str">
            <v xml:space="preserve">V2O5                </v>
          </cell>
        </row>
        <row r="51">
          <cell r="AY51" t="str">
            <v>ALL CAME OUT 0.3-0.4 LOWER</v>
          </cell>
          <cell r="CG51" t="str">
            <v xml:space="preserve">UNITS             </v>
          </cell>
          <cell r="CH51" t="str">
            <v xml:space="preserve">                                                          </v>
          </cell>
          <cell r="CI51" t="str">
            <v xml:space="preserve">%                   </v>
          </cell>
          <cell r="CJ51" t="str">
            <v xml:space="preserve">%                   </v>
          </cell>
          <cell r="CK51" t="str">
            <v xml:space="preserve">%                   </v>
          </cell>
          <cell r="CL51" t="str">
            <v xml:space="preserve">%                   </v>
          </cell>
          <cell r="CM51" t="str">
            <v xml:space="preserve">%                   </v>
          </cell>
          <cell r="CN51" t="str">
            <v xml:space="preserve">%                   </v>
          </cell>
          <cell r="CO51" t="str">
            <v xml:space="preserve">%                   </v>
          </cell>
          <cell r="CP51" t="str">
            <v xml:space="preserve">%                   </v>
          </cell>
          <cell r="CQ51" t="str">
            <v xml:space="preserve">%                   </v>
          </cell>
          <cell r="CR51" t="str">
            <v xml:space="preserve">%                   </v>
          </cell>
          <cell r="CS51" t="str">
            <v xml:space="preserve">%                   </v>
          </cell>
          <cell r="CT51" t="str">
            <v xml:space="preserve">%                   </v>
          </cell>
          <cell r="CU51" t="str">
            <v xml:space="preserve">%                   </v>
          </cell>
          <cell r="CV51" t="str">
            <v xml:space="preserve">%                   </v>
          </cell>
          <cell r="CW51" t="str">
            <v xml:space="preserve">%                   </v>
          </cell>
          <cell r="DB51" t="str">
            <v xml:space="preserve">IDENT             </v>
          </cell>
          <cell r="DC51" t="str">
            <v xml:space="preserve">Description                                               </v>
          </cell>
          <cell r="DD51" t="str">
            <v xml:space="preserve">As                  </v>
          </cell>
          <cell r="DF51" t="str">
            <v xml:space="preserve">B                   </v>
          </cell>
          <cell r="DK51" t="str">
            <v xml:space="preserve">Cd in Coal          </v>
          </cell>
          <cell r="DP51" t="str">
            <v xml:space="preserve">F                   </v>
          </cell>
          <cell r="DS51" t="str">
            <v xml:space="preserve">Hg                  </v>
          </cell>
          <cell r="DX51" t="str">
            <v xml:space="preserve">Mo                  </v>
          </cell>
          <cell r="EA51" t="str">
            <v xml:space="preserve">Pb in Coal          </v>
          </cell>
          <cell r="ED51" t="str">
            <v xml:space="preserve">Se                  </v>
          </cell>
        </row>
        <row r="52">
          <cell r="CG52" t="str">
            <v xml:space="preserve">SCHEME            </v>
          </cell>
          <cell r="CH52" t="str">
            <v xml:space="preserve">                                                          </v>
          </cell>
          <cell r="CI52" t="str">
            <v xml:space="preserve">NQ0798              </v>
          </cell>
          <cell r="CJ52" t="str">
            <v xml:space="preserve">NQ0798              </v>
          </cell>
          <cell r="CK52" t="str">
            <v xml:space="preserve">NQ0798              </v>
          </cell>
          <cell r="CL52" t="str">
            <v xml:space="preserve">NQ0798              </v>
          </cell>
          <cell r="CM52" t="str">
            <v xml:space="preserve">NQ0798              </v>
          </cell>
          <cell r="CN52" t="str">
            <v xml:space="preserve">NQ0798              </v>
          </cell>
          <cell r="CO52" t="str">
            <v xml:space="preserve">NQ0798              </v>
          </cell>
          <cell r="CP52" t="str">
            <v xml:space="preserve">NQ0798              </v>
          </cell>
          <cell r="CQ52" t="str">
            <v xml:space="preserve">NQ0798              </v>
          </cell>
          <cell r="CR52" t="str">
            <v xml:space="preserve">NQ0798              </v>
          </cell>
          <cell r="CS52" t="str">
            <v xml:space="preserve">NQ0798              </v>
          </cell>
          <cell r="CT52" t="str">
            <v xml:space="preserve">NQ0798              </v>
          </cell>
          <cell r="CU52" t="str">
            <v xml:space="preserve">NQ0798              </v>
          </cell>
          <cell r="CV52" t="str">
            <v xml:space="preserve">NQ0798              </v>
          </cell>
          <cell r="CW52" t="str">
            <v xml:space="preserve">NQ0798              </v>
          </cell>
          <cell r="DB52" t="str">
            <v xml:space="preserve">UNITS             </v>
          </cell>
          <cell r="DC52" t="str">
            <v xml:space="preserve">                                                          </v>
          </cell>
          <cell r="DD52" t="str">
            <v xml:space="preserve">mg/kg db            </v>
          </cell>
          <cell r="DF52" t="str">
            <v xml:space="preserve">mg/kg db            </v>
          </cell>
          <cell r="DK52" t="str">
            <v xml:space="preserve">mg/kg               </v>
          </cell>
          <cell r="DP52" t="str">
            <v xml:space="preserve">mg/kg               </v>
          </cell>
          <cell r="DS52" t="str">
            <v xml:space="preserve">mg/kg               </v>
          </cell>
          <cell r="DX52" t="str">
            <v xml:space="preserve">mg/kg               </v>
          </cell>
          <cell r="EA52" t="str">
            <v xml:space="preserve">mg/kg               </v>
          </cell>
          <cell r="ED52" t="str">
            <v xml:space="preserve">mg/kg db            </v>
          </cell>
        </row>
        <row r="53">
          <cell r="CG53" t="str">
            <v xml:space="preserve">DETECTION LIMIT   </v>
          </cell>
          <cell r="CH53" t="str">
            <v xml:space="preserve">                                                          </v>
          </cell>
          <cell r="CI53">
            <v>0.02</v>
          </cell>
          <cell r="CJ53">
            <v>0.02</v>
          </cell>
          <cell r="CK53">
            <v>0.02</v>
          </cell>
          <cell r="CL53">
            <v>0.02</v>
          </cell>
          <cell r="CM53">
            <v>0.05</v>
          </cell>
          <cell r="CN53">
            <v>0.05</v>
          </cell>
          <cell r="CO53">
            <v>0.02</v>
          </cell>
          <cell r="CP53">
            <v>0.02</v>
          </cell>
          <cell r="CQ53">
            <v>0.02</v>
          </cell>
          <cell r="CR53">
            <v>0.02</v>
          </cell>
          <cell r="CS53">
            <v>0.02</v>
          </cell>
          <cell r="CT53">
            <v>0.02</v>
          </cell>
          <cell r="CU53">
            <v>0.02</v>
          </cell>
          <cell r="CV53">
            <v>0.02</v>
          </cell>
          <cell r="CW53">
            <v>0.02</v>
          </cell>
          <cell r="DB53" t="str">
            <v xml:space="preserve">SCHEME            </v>
          </cell>
          <cell r="DC53" t="str">
            <v xml:space="preserve">                                                          </v>
          </cell>
          <cell r="DD53" t="str">
            <v xml:space="preserve">NQ0775              </v>
          </cell>
          <cell r="DF53" t="str">
            <v xml:space="preserve">NQ0775              </v>
          </cell>
          <cell r="DK53" t="str">
            <v xml:space="preserve">NQ0922              </v>
          </cell>
          <cell r="DP53" t="str">
            <v xml:space="preserve">NQ0703              </v>
          </cell>
          <cell r="DS53" t="str">
            <v xml:space="preserve">NQ0964              </v>
          </cell>
          <cell r="DX53" t="str">
            <v xml:space="preserve">NQ0630              </v>
          </cell>
          <cell r="EA53" t="str">
            <v xml:space="preserve">NQ0922              </v>
          </cell>
          <cell r="ED53" t="str">
            <v xml:space="preserve">NQ0775              </v>
          </cell>
        </row>
        <row r="54">
          <cell r="DB54" t="str">
            <v xml:space="preserve">DETECTION LIMIT   </v>
          </cell>
          <cell r="DC54" t="str">
            <v xml:space="preserve">                                                          </v>
          </cell>
          <cell r="DD54">
            <v>0.2</v>
          </cell>
          <cell r="DF54">
            <v>5</v>
          </cell>
          <cell r="DK54">
            <v>0.01</v>
          </cell>
          <cell r="DP54">
            <v>20</v>
          </cell>
          <cell r="DS54">
            <v>0.01</v>
          </cell>
          <cell r="DX54">
            <v>2</v>
          </cell>
          <cell r="EA54">
            <v>0.1</v>
          </cell>
          <cell r="ED54">
            <v>0.2</v>
          </cell>
        </row>
        <row r="230">
          <cell r="B230" t="str">
            <v>STATUS</v>
          </cell>
        </row>
        <row r="231">
          <cell r="B231" t="str">
            <v>DATE</v>
          </cell>
          <cell r="C231" t="str">
            <v>CHECKED</v>
          </cell>
        </row>
        <row r="232">
          <cell r="C232" t="str">
            <v>Size, FS, Froth line up</v>
          </cell>
        </row>
        <row r="233">
          <cell r="C233" t="str">
            <v>small mass - redistribute if required</v>
          </cell>
        </row>
        <row r="234">
          <cell r="C234" t="str">
            <v>losses on FLOAT Sinks and Froth</v>
          </cell>
        </row>
        <row r="235">
          <cell r="C235" t="str">
            <v>losses on sizings</v>
          </cell>
        </row>
        <row r="236">
          <cell r="C236" t="str">
            <v>Size and Float Sink Masses from PW</v>
          </cell>
        </row>
        <row r="237">
          <cell r="C237" t="str">
            <v xml:space="preserve">Data entry Phos </v>
          </cell>
        </row>
        <row r="238">
          <cell r="C238" t="str">
            <v>Data entry Cum CSN</v>
          </cell>
        </row>
        <row r="239">
          <cell r="C239" t="str">
            <v>Rounding</v>
          </cell>
        </row>
        <row r="240">
          <cell r="C240" t="str">
            <v>ADD Comments (confirmed analysis and combined Fractions)</v>
          </cell>
        </row>
        <row r="415">
          <cell r="A415" t="str">
            <v/>
          </cell>
        </row>
        <row r="416">
          <cell r="A416" t="str">
            <v/>
          </cell>
        </row>
        <row r="417">
          <cell r="A417" t="str">
            <v/>
          </cell>
        </row>
        <row r="418">
          <cell r="A418" t="str">
            <v/>
          </cell>
        </row>
        <row r="419">
          <cell r="A419" t="str">
            <v/>
          </cell>
        </row>
        <row r="420">
          <cell r="A420" t="str">
            <v/>
          </cell>
        </row>
        <row r="421">
          <cell r="A421" t="str">
            <v/>
          </cell>
        </row>
        <row r="422">
          <cell r="A422" t="str">
            <v/>
          </cell>
        </row>
        <row r="423">
          <cell r="A423" t="str">
            <v/>
          </cell>
        </row>
        <row r="424">
          <cell r="A424" t="str">
            <v/>
          </cell>
        </row>
        <row r="425">
          <cell r="A425" t="str">
            <v/>
          </cell>
        </row>
        <row r="426">
          <cell r="A426" t="str">
            <v/>
          </cell>
        </row>
        <row r="427">
          <cell r="A427" t="str">
            <v/>
          </cell>
        </row>
        <row r="428">
          <cell r="A428" t="str">
            <v/>
          </cell>
        </row>
        <row r="429">
          <cell r="A429" t="str">
            <v/>
          </cell>
        </row>
        <row r="430">
          <cell r="A430" t="str">
            <v/>
          </cell>
        </row>
        <row r="431">
          <cell r="A431" t="str">
            <v/>
          </cell>
        </row>
        <row r="432">
          <cell r="A432" t="str">
            <v/>
          </cell>
        </row>
        <row r="433">
          <cell r="A433" t="str">
            <v/>
          </cell>
        </row>
        <row r="434">
          <cell r="A434" t="str">
            <v/>
          </cell>
        </row>
        <row r="435">
          <cell r="A435" t="str">
            <v/>
          </cell>
        </row>
        <row r="436">
          <cell r="A436" t="str">
            <v/>
          </cell>
        </row>
        <row r="437">
          <cell r="A437" t="str">
            <v/>
          </cell>
        </row>
        <row r="438">
          <cell r="A438" t="str">
            <v/>
          </cell>
        </row>
        <row r="439">
          <cell r="A439" t="str">
            <v/>
          </cell>
        </row>
        <row r="440">
          <cell r="A440" t="str">
            <v/>
          </cell>
        </row>
        <row r="441">
          <cell r="A441" t="str">
            <v/>
          </cell>
        </row>
        <row r="442">
          <cell r="A442" t="str">
            <v/>
          </cell>
        </row>
        <row r="443">
          <cell r="A443" t="str">
            <v/>
          </cell>
        </row>
        <row r="444">
          <cell r="A444" t="str">
            <v/>
          </cell>
        </row>
        <row r="445">
          <cell r="A445" t="str">
            <v/>
          </cell>
        </row>
        <row r="446">
          <cell r="A446" t="str">
            <v/>
          </cell>
        </row>
        <row r="447">
          <cell r="A447" t="str">
            <v/>
          </cell>
        </row>
        <row r="448">
          <cell r="A448" t="str">
            <v/>
          </cell>
        </row>
        <row r="449">
          <cell r="A449" t="str">
            <v/>
          </cell>
        </row>
        <row r="450">
          <cell r="A450" t="str">
            <v/>
          </cell>
        </row>
        <row r="451">
          <cell r="A451" t="str">
            <v/>
          </cell>
        </row>
        <row r="452">
          <cell r="A452" t="str">
            <v/>
          </cell>
        </row>
        <row r="453">
          <cell r="A453" t="str">
            <v/>
          </cell>
        </row>
        <row r="454">
          <cell r="A454" t="str">
            <v/>
          </cell>
        </row>
        <row r="455">
          <cell r="A455" t="str">
            <v/>
          </cell>
        </row>
        <row r="456">
          <cell r="A456" t="str">
            <v/>
          </cell>
        </row>
        <row r="457">
          <cell r="A457" t="str">
            <v/>
          </cell>
        </row>
        <row r="458">
          <cell r="A458" t="str">
            <v/>
          </cell>
        </row>
        <row r="459">
          <cell r="A459" t="str">
            <v/>
          </cell>
        </row>
        <row r="460">
          <cell r="A460" t="str">
            <v/>
          </cell>
        </row>
        <row r="461">
          <cell r="A461" t="str">
            <v/>
          </cell>
        </row>
        <row r="462">
          <cell r="A462" t="str">
            <v/>
          </cell>
        </row>
        <row r="463">
          <cell r="A463" t="str">
            <v/>
          </cell>
        </row>
        <row r="464">
          <cell r="A464" t="str">
            <v/>
          </cell>
        </row>
        <row r="465">
          <cell r="A465" t="str">
            <v/>
          </cell>
        </row>
        <row r="466">
          <cell r="A466" t="str">
            <v/>
          </cell>
        </row>
        <row r="467">
          <cell r="A467" t="str">
            <v/>
          </cell>
        </row>
        <row r="468">
          <cell r="A468" t="str">
            <v/>
          </cell>
        </row>
        <row r="469">
          <cell r="A469" t="str">
            <v/>
          </cell>
        </row>
        <row r="470">
          <cell r="A470" t="str">
            <v/>
          </cell>
        </row>
        <row r="471">
          <cell r="A471" t="str">
            <v/>
          </cell>
        </row>
        <row r="472">
          <cell r="A472" t="str">
            <v/>
          </cell>
        </row>
        <row r="473">
          <cell r="A473" t="str">
            <v/>
          </cell>
        </row>
        <row r="474">
          <cell r="A474" t="str">
            <v/>
          </cell>
        </row>
        <row r="475">
          <cell r="A475" t="str">
            <v/>
          </cell>
        </row>
        <row r="476">
          <cell r="A476" t="str">
            <v/>
          </cell>
        </row>
        <row r="477">
          <cell r="A477" t="str">
            <v/>
          </cell>
        </row>
        <row r="478">
          <cell r="A478" t="str">
            <v/>
          </cell>
        </row>
        <row r="479">
          <cell r="A479" t="str">
            <v/>
          </cell>
        </row>
        <row r="480">
          <cell r="A480" t="str">
            <v/>
          </cell>
        </row>
        <row r="481">
          <cell r="A481" t="str">
            <v/>
          </cell>
        </row>
        <row r="482">
          <cell r="A482" t="str">
            <v/>
          </cell>
        </row>
        <row r="483">
          <cell r="A483" t="str">
            <v/>
          </cell>
        </row>
        <row r="512">
          <cell r="A512" t="str">
            <v/>
          </cell>
        </row>
        <row r="513">
          <cell r="A513" t="str">
            <v/>
          </cell>
        </row>
        <row r="514">
          <cell r="A514" t="str">
            <v/>
          </cell>
        </row>
        <row r="515">
          <cell r="A515" t="str">
            <v/>
          </cell>
        </row>
        <row r="516">
          <cell r="A516" t="str">
            <v/>
          </cell>
        </row>
        <row r="517">
          <cell r="A517" t="str">
            <v/>
          </cell>
        </row>
        <row r="518">
          <cell r="A518" t="str">
            <v/>
          </cell>
        </row>
        <row r="519">
          <cell r="A519" t="str">
            <v/>
          </cell>
        </row>
        <row r="520">
          <cell r="A520" t="str">
            <v/>
          </cell>
        </row>
        <row r="521">
          <cell r="A521" t="str">
            <v/>
          </cell>
        </row>
        <row r="522">
          <cell r="A522" t="str">
            <v/>
          </cell>
        </row>
        <row r="523">
          <cell r="A523" t="str">
            <v/>
          </cell>
        </row>
        <row r="524">
          <cell r="A524" t="str">
            <v/>
          </cell>
        </row>
        <row r="525">
          <cell r="A525" t="str">
            <v/>
          </cell>
        </row>
        <row r="526">
          <cell r="A526" t="str">
            <v/>
          </cell>
        </row>
        <row r="527">
          <cell r="A527" t="str">
            <v/>
          </cell>
        </row>
        <row r="528">
          <cell r="A528" t="str">
            <v/>
          </cell>
        </row>
        <row r="529">
          <cell r="A529" t="str">
            <v/>
          </cell>
        </row>
        <row r="530">
          <cell r="A530" t="str">
            <v/>
          </cell>
        </row>
        <row r="531">
          <cell r="A531" t="str">
            <v/>
          </cell>
        </row>
        <row r="532">
          <cell r="A532" t="str">
            <v/>
          </cell>
        </row>
        <row r="533">
          <cell r="A533" t="str">
            <v/>
          </cell>
        </row>
        <row r="534">
          <cell r="A534" t="str">
            <v/>
          </cell>
        </row>
        <row r="681">
          <cell r="A681" t="str">
            <v/>
          </cell>
        </row>
        <row r="682">
          <cell r="A682" t="str">
            <v/>
          </cell>
        </row>
        <row r="683">
          <cell r="A683" t="str">
            <v/>
          </cell>
        </row>
        <row r="684">
          <cell r="A684" t="str">
            <v/>
          </cell>
        </row>
        <row r="685">
          <cell r="A685" t="str">
            <v/>
          </cell>
        </row>
        <row r="686">
          <cell r="A686" t="str">
            <v/>
          </cell>
        </row>
        <row r="687">
          <cell r="A687" t="str">
            <v/>
          </cell>
        </row>
        <row r="688">
          <cell r="A688" t="str">
            <v/>
          </cell>
        </row>
        <row r="689">
          <cell r="A689" t="str">
            <v/>
          </cell>
        </row>
        <row r="690">
          <cell r="A690" t="str">
            <v/>
          </cell>
        </row>
        <row r="691">
          <cell r="A691" t="str">
            <v/>
          </cell>
        </row>
        <row r="692">
          <cell r="A692" t="str">
            <v/>
          </cell>
        </row>
        <row r="693">
          <cell r="A693" t="str">
            <v/>
          </cell>
        </row>
        <row r="694">
          <cell r="A694" t="str">
            <v/>
          </cell>
        </row>
        <row r="695">
          <cell r="A695" t="str">
            <v/>
          </cell>
        </row>
        <row r="696">
          <cell r="A696" t="str">
            <v/>
          </cell>
        </row>
        <row r="697">
          <cell r="A697" t="str">
            <v/>
          </cell>
        </row>
        <row r="698">
          <cell r="A698" t="str">
            <v/>
          </cell>
        </row>
        <row r="699">
          <cell r="A699" t="str">
            <v/>
          </cell>
        </row>
        <row r="700">
          <cell r="A700" t="str">
            <v/>
          </cell>
        </row>
        <row r="701">
          <cell r="A701" t="str">
            <v/>
          </cell>
        </row>
        <row r="702">
          <cell r="A702" t="str">
            <v/>
          </cell>
        </row>
        <row r="703">
          <cell r="A703" t="str">
            <v/>
          </cell>
        </row>
        <row r="704">
          <cell r="A704" t="str">
            <v/>
          </cell>
        </row>
        <row r="705">
          <cell r="A705" t="str">
            <v/>
          </cell>
        </row>
        <row r="706">
          <cell r="A706" t="str">
            <v/>
          </cell>
        </row>
        <row r="707">
          <cell r="A707" t="str">
            <v/>
          </cell>
        </row>
        <row r="708">
          <cell r="A708" t="str">
            <v/>
          </cell>
        </row>
        <row r="709">
          <cell r="A709" t="str">
            <v/>
          </cell>
        </row>
        <row r="710">
          <cell r="A710" t="str">
            <v/>
          </cell>
        </row>
        <row r="711">
          <cell r="A711" t="str">
            <v/>
          </cell>
        </row>
        <row r="712">
          <cell r="A712" t="str">
            <v/>
          </cell>
        </row>
        <row r="713">
          <cell r="A713" t="str">
            <v/>
          </cell>
        </row>
        <row r="714">
          <cell r="A714" t="str">
            <v/>
          </cell>
        </row>
        <row r="715">
          <cell r="A715" t="str">
            <v/>
          </cell>
        </row>
        <row r="716">
          <cell r="A716" t="str">
            <v/>
          </cell>
        </row>
        <row r="717">
          <cell r="A717" t="str">
            <v/>
          </cell>
        </row>
        <row r="718">
          <cell r="A718" t="str">
            <v/>
          </cell>
        </row>
        <row r="719">
          <cell r="A719" t="str">
            <v/>
          </cell>
        </row>
        <row r="720">
          <cell r="A720" t="str">
            <v/>
          </cell>
        </row>
        <row r="721">
          <cell r="A721" t="str">
            <v/>
          </cell>
        </row>
        <row r="722">
          <cell r="A722" t="str">
            <v/>
          </cell>
        </row>
        <row r="723">
          <cell r="A723" t="str">
            <v/>
          </cell>
        </row>
        <row r="724">
          <cell r="A724" t="str">
            <v/>
          </cell>
        </row>
        <row r="725">
          <cell r="A725" t="str">
            <v/>
          </cell>
        </row>
        <row r="726">
          <cell r="A726" t="str">
            <v/>
          </cell>
        </row>
        <row r="727">
          <cell r="A727" t="str">
            <v/>
          </cell>
        </row>
        <row r="728">
          <cell r="A728" t="str">
            <v/>
          </cell>
        </row>
        <row r="729">
          <cell r="A729" t="str">
            <v/>
          </cell>
        </row>
        <row r="730">
          <cell r="A730" t="str">
            <v/>
          </cell>
        </row>
        <row r="731">
          <cell r="A731" t="str">
            <v/>
          </cell>
        </row>
        <row r="732">
          <cell r="A732" t="str">
            <v/>
          </cell>
        </row>
        <row r="733">
          <cell r="A733" t="str">
            <v/>
          </cell>
        </row>
        <row r="734">
          <cell r="A734" t="str">
            <v/>
          </cell>
        </row>
        <row r="735">
          <cell r="A735" t="str">
            <v/>
          </cell>
        </row>
        <row r="736">
          <cell r="A736" t="str">
            <v/>
          </cell>
        </row>
        <row r="737">
          <cell r="A737" t="str">
            <v/>
          </cell>
        </row>
        <row r="738">
          <cell r="A738" t="str">
            <v/>
          </cell>
        </row>
        <row r="739">
          <cell r="A739" t="str">
            <v/>
          </cell>
        </row>
        <row r="740">
          <cell r="A740" t="str">
            <v/>
          </cell>
        </row>
        <row r="741">
          <cell r="A741" t="str">
            <v/>
          </cell>
        </row>
        <row r="742">
          <cell r="A742" t="str">
            <v/>
          </cell>
        </row>
        <row r="743">
          <cell r="A743" t="str">
            <v/>
          </cell>
        </row>
        <row r="744">
          <cell r="A744" t="str">
            <v/>
          </cell>
        </row>
        <row r="745">
          <cell r="A745" t="str">
            <v/>
          </cell>
        </row>
        <row r="746">
          <cell r="A746" t="str">
            <v/>
          </cell>
        </row>
        <row r="747">
          <cell r="A747" t="str">
            <v/>
          </cell>
        </row>
        <row r="748">
          <cell r="A748" t="str">
            <v/>
          </cell>
        </row>
        <row r="749">
          <cell r="A749" t="str">
            <v/>
          </cell>
        </row>
        <row r="750">
          <cell r="A750" t="str">
            <v/>
          </cell>
        </row>
        <row r="751">
          <cell r="A751" t="str">
            <v/>
          </cell>
        </row>
        <row r="752">
          <cell r="A752" t="str">
            <v/>
          </cell>
        </row>
        <row r="753">
          <cell r="A753" t="str">
            <v/>
          </cell>
        </row>
        <row r="754">
          <cell r="A754" t="str">
            <v/>
          </cell>
        </row>
        <row r="755">
          <cell r="A755" t="str">
            <v/>
          </cell>
        </row>
        <row r="756">
          <cell r="A756" t="str">
            <v/>
          </cell>
        </row>
        <row r="757">
          <cell r="A757" t="str">
            <v/>
          </cell>
        </row>
        <row r="758">
          <cell r="A758" t="str">
            <v/>
          </cell>
        </row>
        <row r="759">
          <cell r="A759" t="str">
            <v/>
          </cell>
        </row>
        <row r="760">
          <cell r="A760" t="str">
            <v/>
          </cell>
        </row>
        <row r="761">
          <cell r="A761" t="str">
            <v/>
          </cell>
        </row>
        <row r="762">
          <cell r="A762" t="str">
            <v/>
          </cell>
        </row>
        <row r="763">
          <cell r="A763" t="str">
            <v/>
          </cell>
        </row>
        <row r="764">
          <cell r="A764" t="str">
            <v/>
          </cell>
        </row>
        <row r="765">
          <cell r="A765" t="str">
            <v/>
          </cell>
        </row>
        <row r="766">
          <cell r="A766" t="str">
            <v/>
          </cell>
        </row>
        <row r="767">
          <cell r="A767" t="str">
            <v/>
          </cell>
        </row>
        <row r="768">
          <cell r="A768" t="str">
            <v/>
          </cell>
        </row>
        <row r="769">
          <cell r="A769" t="str">
            <v/>
          </cell>
        </row>
        <row r="770">
          <cell r="A770" t="str">
            <v/>
          </cell>
        </row>
        <row r="771">
          <cell r="A771" t="str">
            <v/>
          </cell>
        </row>
        <row r="772">
          <cell r="A772" t="str">
            <v/>
          </cell>
        </row>
        <row r="773">
          <cell r="A773" t="str">
            <v/>
          </cell>
        </row>
        <row r="774">
          <cell r="A774" t="str">
            <v/>
          </cell>
        </row>
        <row r="775">
          <cell r="A775" t="str">
            <v/>
          </cell>
        </row>
        <row r="776">
          <cell r="A776" t="str">
            <v/>
          </cell>
        </row>
        <row r="777">
          <cell r="A777" t="str">
            <v/>
          </cell>
        </row>
        <row r="778">
          <cell r="A778" t="str">
            <v/>
          </cell>
        </row>
        <row r="779">
          <cell r="A779" t="str">
            <v/>
          </cell>
        </row>
        <row r="780">
          <cell r="A780" t="str">
            <v/>
          </cell>
        </row>
        <row r="781">
          <cell r="A781" t="str">
            <v/>
          </cell>
        </row>
        <row r="782">
          <cell r="A782" t="str">
            <v/>
          </cell>
        </row>
        <row r="783">
          <cell r="A783" t="str">
            <v/>
          </cell>
        </row>
        <row r="784">
          <cell r="A784" t="str">
            <v/>
          </cell>
        </row>
        <row r="785">
          <cell r="A785" t="str">
            <v/>
          </cell>
        </row>
        <row r="786">
          <cell r="A786" t="str">
            <v/>
          </cell>
        </row>
        <row r="787">
          <cell r="A787" t="str">
            <v/>
          </cell>
        </row>
        <row r="788">
          <cell r="A788" t="str">
            <v/>
          </cell>
        </row>
        <row r="789">
          <cell r="A789" t="str">
            <v/>
          </cell>
        </row>
        <row r="790">
          <cell r="A790" t="str">
            <v/>
          </cell>
        </row>
        <row r="791">
          <cell r="A791" t="str">
            <v/>
          </cell>
        </row>
        <row r="792">
          <cell r="A792" t="str">
            <v/>
          </cell>
        </row>
        <row r="793">
          <cell r="A793" t="str">
            <v/>
          </cell>
        </row>
        <row r="794">
          <cell r="A794" t="str">
            <v/>
          </cell>
        </row>
        <row r="795">
          <cell r="A795" t="str">
            <v/>
          </cell>
        </row>
        <row r="796">
          <cell r="A796" t="str">
            <v/>
          </cell>
        </row>
        <row r="797">
          <cell r="A797" t="str">
            <v/>
          </cell>
        </row>
        <row r="798">
          <cell r="A798" t="str">
            <v/>
          </cell>
        </row>
        <row r="799">
          <cell r="A799" t="str">
            <v/>
          </cell>
        </row>
        <row r="800">
          <cell r="A800" t="str">
            <v/>
          </cell>
        </row>
        <row r="801">
          <cell r="A801" t="str">
            <v/>
          </cell>
        </row>
        <row r="802">
          <cell r="A802" t="str">
            <v/>
          </cell>
        </row>
        <row r="803">
          <cell r="A803" t="str">
            <v/>
          </cell>
        </row>
        <row r="804">
          <cell r="A804" t="str">
            <v/>
          </cell>
        </row>
        <row r="805">
          <cell r="A805" t="str">
            <v/>
          </cell>
        </row>
        <row r="806">
          <cell r="A806" t="str">
            <v/>
          </cell>
        </row>
        <row r="807">
          <cell r="A807" t="str">
            <v/>
          </cell>
        </row>
        <row r="808">
          <cell r="A808" t="str">
            <v/>
          </cell>
        </row>
        <row r="809">
          <cell r="A809" t="str">
            <v/>
          </cell>
        </row>
        <row r="810">
          <cell r="A810" t="str">
            <v/>
          </cell>
        </row>
        <row r="811">
          <cell r="A811" t="str">
            <v/>
          </cell>
        </row>
        <row r="812">
          <cell r="A812" t="str">
            <v/>
          </cell>
        </row>
        <row r="813">
          <cell r="A813" t="str">
            <v/>
          </cell>
        </row>
        <row r="814">
          <cell r="A814" t="str">
            <v/>
          </cell>
        </row>
        <row r="815">
          <cell r="A815" t="str">
            <v/>
          </cell>
        </row>
        <row r="816">
          <cell r="A816" t="str">
            <v/>
          </cell>
        </row>
        <row r="817">
          <cell r="A817" t="str">
            <v/>
          </cell>
        </row>
        <row r="818">
          <cell r="A818" t="str">
            <v/>
          </cell>
        </row>
        <row r="819">
          <cell r="A819" t="str">
            <v/>
          </cell>
        </row>
        <row r="820">
          <cell r="A820" t="str">
            <v/>
          </cell>
        </row>
        <row r="821">
          <cell r="A821" t="str">
            <v/>
          </cell>
        </row>
        <row r="822">
          <cell r="A822" t="str">
            <v/>
          </cell>
        </row>
        <row r="823">
          <cell r="A823" t="str">
            <v/>
          </cell>
        </row>
        <row r="824">
          <cell r="A824" t="str">
            <v/>
          </cell>
        </row>
        <row r="825">
          <cell r="A825" t="str">
            <v/>
          </cell>
        </row>
        <row r="826">
          <cell r="A826" t="str">
            <v/>
          </cell>
        </row>
        <row r="827">
          <cell r="A827" t="str">
            <v/>
          </cell>
        </row>
        <row r="828">
          <cell r="A828" t="str">
            <v/>
          </cell>
        </row>
        <row r="829">
          <cell r="A829" t="str">
            <v/>
          </cell>
        </row>
        <row r="830">
          <cell r="A830" t="str">
            <v/>
          </cell>
        </row>
        <row r="831">
          <cell r="A831" t="str">
            <v/>
          </cell>
        </row>
        <row r="832">
          <cell r="A832" t="str">
            <v/>
          </cell>
        </row>
        <row r="833">
          <cell r="A833" t="str">
            <v/>
          </cell>
        </row>
        <row r="834">
          <cell r="A834" t="str">
            <v/>
          </cell>
        </row>
        <row r="835">
          <cell r="A835" t="str">
            <v/>
          </cell>
        </row>
        <row r="836">
          <cell r="A836" t="str">
            <v/>
          </cell>
        </row>
        <row r="837">
          <cell r="A837" t="str">
            <v/>
          </cell>
        </row>
        <row r="838">
          <cell r="A838" t="str">
            <v/>
          </cell>
        </row>
        <row r="839">
          <cell r="A839" t="str">
            <v/>
          </cell>
        </row>
        <row r="840">
          <cell r="A840" t="str">
            <v/>
          </cell>
        </row>
        <row r="841">
          <cell r="A841" t="str">
            <v/>
          </cell>
        </row>
        <row r="842">
          <cell r="A842" t="str">
            <v/>
          </cell>
        </row>
        <row r="843">
          <cell r="A843" t="str">
            <v/>
          </cell>
        </row>
        <row r="844">
          <cell r="A844" t="str">
            <v/>
          </cell>
        </row>
        <row r="845">
          <cell r="A845" t="str">
            <v/>
          </cell>
        </row>
        <row r="846">
          <cell r="A846" t="str">
            <v/>
          </cell>
        </row>
        <row r="847">
          <cell r="A847" t="str">
            <v/>
          </cell>
        </row>
        <row r="848">
          <cell r="A848" t="str">
            <v/>
          </cell>
        </row>
        <row r="849">
          <cell r="A849" t="str">
            <v/>
          </cell>
        </row>
        <row r="850">
          <cell r="A850" t="str">
            <v/>
          </cell>
        </row>
        <row r="851">
          <cell r="A851" t="str">
            <v/>
          </cell>
        </row>
        <row r="852">
          <cell r="A852" t="str">
            <v/>
          </cell>
        </row>
        <row r="853">
          <cell r="A853" t="str">
            <v/>
          </cell>
        </row>
        <row r="854">
          <cell r="A854" t="str">
            <v/>
          </cell>
        </row>
        <row r="855">
          <cell r="A855" t="str">
            <v/>
          </cell>
        </row>
        <row r="856">
          <cell r="A856" t="str">
            <v/>
          </cell>
        </row>
        <row r="857">
          <cell r="A857" t="str">
            <v/>
          </cell>
        </row>
        <row r="858">
          <cell r="A858" t="str">
            <v/>
          </cell>
        </row>
        <row r="859">
          <cell r="A859" t="str">
            <v/>
          </cell>
        </row>
        <row r="860">
          <cell r="A860" t="str">
            <v/>
          </cell>
        </row>
        <row r="861">
          <cell r="A861" t="str">
            <v/>
          </cell>
        </row>
        <row r="862">
          <cell r="A862" t="str">
            <v/>
          </cell>
        </row>
        <row r="863">
          <cell r="A863" t="str">
            <v/>
          </cell>
        </row>
        <row r="864">
          <cell r="A864" t="str">
            <v/>
          </cell>
        </row>
        <row r="865">
          <cell r="A865" t="str">
            <v/>
          </cell>
        </row>
        <row r="866">
          <cell r="A866" t="str">
            <v/>
          </cell>
        </row>
        <row r="867">
          <cell r="A867" t="str">
            <v/>
          </cell>
        </row>
        <row r="868">
          <cell r="A868" t="str">
            <v/>
          </cell>
        </row>
        <row r="869">
          <cell r="A869" t="str">
            <v/>
          </cell>
        </row>
        <row r="870">
          <cell r="A870" t="str">
            <v/>
          </cell>
        </row>
        <row r="871">
          <cell r="A871" t="str">
            <v/>
          </cell>
        </row>
        <row r="872">
          <cell r="A872" t="str">
            <v/>
          </cell>
        </row>
        <row r="873">
          <cell r="A873" t="str">
            <v/>
          </cell>
        </row>
        <row r="874">
          <cell r="A874" t="str">
            <v/>
          </cell>
        </row>
        <row r="875">
          <cell r="A875" t="str">
            <v/>
          </cell>
        </row>
        <row r="876">
          <cell r="A876" t="str">
            <v/>
          </cell>
        </row>
        <row r="877">
          <cell r="A877" t="str">
            <v/>
          </cell>
        </row>
        <row r="878">
          <cell r="A878" t="str">
            <v/>
          </cell>
        </row>
        <row r="879">
          <cell r="A879" t="str">
            <v/>
          </cell>
        </row>
        <row r="880">
          <cell r="A880" t="str">
            <v/>
          </cell>
        </row>
        <row r="881">
          <cell r="A881" t="str">
            <v/>
          </cell>
        </row>
        <row r="882">
          <cell r="A882" t="str">
            <v/>
          </cell>
        </row>
        <row r="883">
          <cell r="A883" t="str">
            <v/>
          </cell>
        </row>
        <row r="884">
          <cell r="A884" t="str">
            <v/>
          </cell>
        </row>
        <row r="885">
          <cell r="A885" t="str">
            <v/>
          </cell>
        </row>
        <row r="886">
          <cell r="A886" t="str">
            <v/>
          </cell>
        </row>
        <row r="887">
          <cell r="A887" t="str">
            <v/>
          </cell>
        </row>
        <row r="888">
          <cell r="A888" t="str">
            <v/>
          </cell>
        </row>
        <row r="889">
          <cell r="A889" t="str">
            <v/>
          </cell>
        </row>
        <row r="890">
          <cell r="A890" t="str">
            <v/>
          </cell>
        </row>
        <row r="891">
          <cell r="A891" t="str">
            <v/>
          </cell>
        </row>
        <row r="892">
          <cell r="A892" t="str">
            <v/>
          </cell>
        </row>
        <row r="893">
          <cell r="A893" t="str">
            <v/>
          </cell>
        </row>
        <row r="894">
          <cell r="A894" t="str">
            <v/>
          </cell>
        </row>
        <row r="895">
          <cell r="A895" t="str">
            <v/>
          </cell>
        </row>
        <row r="896">
          <cell r="A896" t="str">
            <v/>
          </cell>
        </row>
        <row r="897">
          <cell r="A897" t="str">
            <v/>
          </cell>
        </row>
        <row r="898">
          <cell r="A898" t="str">
            <v/>
          </cell>
        </row>
        <row r="899">
          <cell r="A899" t="str">
            <v/>
          </cell>
        </row>
        <row r="900">
          <cell r="A900" t="str">
            <v/>
          </cell>
        </row>
        <row r="901">
          <cell r="A901" t="str">
            <v/>
          </cell>
        </row>
        <row r="902">
          <cell r="A902" t="str">
            <v/>
          </cell>
        </row>
        <row r="903">
          <cell r="A903" t="str">
            <v/>
          </cell>
        </row>
        <row r="904">
          <cell r="A904" t="str">
            <v/>
          </cell>
        </row>
        <row r="905">
          <cell r="A905" t="str">
            <v/>
          </cell>
        </row>
        <row r="906">
          <cell r="A906" t="str">
            <v/>
          </cell>
        </row>
        <row r="907">
          <cell r="A907" t="str">
            <v/>
          </cell>
        </row>
        <row r="908">
          <cell r="A908" t="str">
            <v/>
          </cell>
        </row>
        <row r="909">
          <cell r="A909" t="str">
            <v/>
          </cell>
        </row>
        <row r="910">
          <cell r="A910" t="str">
            <v/>
          </cell>
        </row>
        <row r="911">
          <cell r="A911" t="str">
            <v/>
          </cell>
        </row>
        <row r="912">
          <cell r="A912" t="str">
            <v/>
          </cell>
        </row>
        <row r="913">
          <cell r="A913" t="str">
            <v/>
          </cell>
        </row>
        <row r="914">
          <cell r="A914" t="str">
            <v/>
          </cell>
        </row>
        <row r="915">
          <cell r="A915" t="str">
            <v/>
          </cell>
        </row>
        <row r="916">
          <cell r="A916" t="str">
            <v/>
          </cell>
        </row>
        <row r="917">
          <cell r="A917" t="str">
            <v/>
          </cell>
        </row>
        <row r="918">
          <cell r="A918" t="str">
            <v/>
          </cell>
        </row>
        <row r="919">
          <cell r="A919" t="str">
            <v/>
          </cell>
        </row>
        <row r="920">
          <cell r="A920" t="str">
            <v/>
          </cell>
        </row>
        <row r="921">
          <cell r="A921" t="str">
            <v/>
          </cell>
        </row>
        <row r="922">
          <cell r="A922" t="str">
            <v/>
          </cell>
        </row>
        <row r="923">
          <cell r="A923" t="str">
            <v/>
          </cell>
        </row>
        <row r="924">
          <cell r="A924" t="str">
            <v/>
          </cell>
        </row>
        <row r="925">
          <cell r="A925" t="str">
            <v/>
          </cell>
        </row>
        <row r="926">
          <cell r="A926" t="str">
            <v/>
          </cell>
        </row>
        <row r="927">
          <cell r="A927" t="str">
            <v/>
          </cell>
        </row>
        <row r="928">
          <cell r="A928" t="str">
            <v/>
          </cell>
        </row>
        <row r="929">
          <cell r="A929" t="str">
            <v/>
          </cell>
        </row>
        <row r="930">
          <cell r="A930" t="str">
            <v/>
          </cell>
        </row>
        <row r="931">
          <cell r="A931" t="str">
            <v/>
          </cell>
        </row>
        <row r="932">
          <cell r="A932" t="str">
            <v/>
          </cell>
        </row>
        <row r="933">
          <cell r="A933" t="str">
            <v/>
          </cell>
        </row>
        <row r="934">
          <cell r="A934" t="str">
            <v/>
          </cell>
        </row>
        <row r="935">
          <cell r="A935" t="str">
            <v/>
          </cell>
        </row>
        <row r="936">
          <cell r="A936" t="str">
            <v/>
          </cell>
        </row>
        <row r="937">
          <cell r="A937" t="str">
            <v/>
          </cell>
        </row>
        <row r="938">
          <cell r="A938" t="str">
            <v/>
          </cell>
        </row>
        <row r="939">
          <cell r="A939" t="str">
            <v/>
          </cell>
        </row>
        <row r="940">
          <cell r="A940" t="str">
            <v/>
          </cell>
        </row>
        <row r="941">
          <cell r="A941" t="str">
            <v/>
          </cell>
        </row>
        <row r="942">
          <cell r="A942" t="str">
            <v/>
          </cell>
        </row>
        <row r="943">
          <cell r="A943" t="str">
            <v/>
          </cell>
        </row>
        <row r="944">
          <cell r="A944" t="str">
            <v/>
          </cell>
        </row>
        <row r="945">
          <cell r="A945" t="str">
            <v/>
          </cell>
        </row>
        <row r="946">
          <cell r="A946" t="str">
            <v/>
          </cell>
        </row>
        <row r="947">
          <cell r="A947" t="str">
            <v/>
          </cell>
        </row>
        <row r="948">
          <cell r="A948" t="str">
            <v/>
          </cell>
        </row>
        <row r="949">
          <cell r="A949" t="str">
            <v/>
          </cell>
        </row>
        <row r="950">
          <cell r="A950" t="str">
            <v/>
          </cell>
        </row>
        <row r="951">
          <cell r="A951" t="str">
            <v/>
          </cell>
        </row>
        <row r="952">
          <cell r="A952" t="str">
            <v/>
          </cell>
        </row>
        <row r="953">
          <cell r="A953" t="str">
            <v/>
          </cell>
        </row>
        <row r="954">
          <cell r="A954" t="str">
            <v/>
          </cell>
        </row>
        <row r="955">
          <cell r="A955" t="str">
            <v/>
          </cell>
        </row>
        <row r="956">
          <cell r="A956" t="str">
            <v/>
          </cell>
        </row>
        <row r="957">
          <cell r="A957" t="str">
            <v/>
          </cell>
        </row>
        <row r="958">
          <cell r="A958" t="str">
            <v/>
          </cell>
        </row>
        <row r="959">
          <cell r="A959" t="str">
            <v/>
          </cell>
        </row>
        <row r="960">
          <cell r="A960" t="str">
            <v/>
          </cell>
        </row>
        <row r="961">
          <cell r="A961" t="str">
            <v/>
          </cell>
        </row>
        <row r="962">
          <cell r="A962" t="str">
            <v/>
          </cell>
        </row>
        <row r="963">
          <cell r="A963" t="str">
            <v/>
          </cell>
        </row>
        <row r="964">
          <cell r="A964" t="str">
            <v/>
          </cell>
        </row>
        <row r="965">
          <cell r="A965" t="str">
            <v/>
          </cell>
        </row>
        <row r="966">
          <cell r="A966" t="str">
            <v/>
          </cell>
        </row>
        <row r="967">
          <cell r="A967" t="str">
            <v/>
          </cell>
        </row>
        <row r="968">
          <cell r="A968" t="str">
            <v/>
          </cell>
        </row>
        <row r="969">
          <cell r="A969" t="str">
            <v/>
          </cell>
        </row>
        <row r="970">
          <cell r="A970" t="str">
            <v/>
          </cell>
        </row>
        <row r="971">
          <cell r="A971" t="str">
            <v/>
          </cell>
        </row>
        <row r="972">
          <cell r="A972" t="str">
            <v/>
          </cell>
        </row>
        <row r="973">
          <cell r="A973" t="str">
            <v/>
          </cell>
        </row>
        <row r="974">
          <cell r="A974" t="str">
            <v/>
          </cell>
        </row>
        <row r="975">
          <cell r="A975" t="str">
            <v/>
          </cell>
        </row>
        <row r="976">
          <cell r="A976" t="str">
            <v/>
          </cell>
        </row>
        <row r="977">
          <cell r="A977" t="str">
            <v/>
          </cell>
        </row>
        <row r="978">
          <cell r="A978" t="str">
            <v/>
          </cell>
        </row>
        <row r="979">
          <cell r="A979" t="str">
            <v/>
          </cell>
        </row>
        <row r="980">
          <cell r="A980" t="str">
            <v/>
          </cell>
        </row>
        <row r="981">
          <cell r="A981" t="str">
            <v/>
          </cell>
        </row>
        <row r="982">
          <cell r="A982" t="str">
            <v/>
          </cell>
        </row>
        <row r="983">
          <cell r="A983" t="str">
            <v/>
          </cell>
        </row>
        <row r="984">
          <cell r="A984" t="str">
            <v/>
          </cell>
        </row>
        <row r="985">
          <cell r="A985" t="str">
            <v/>
          </cell>
        </row>
        <row r="986">
          <cell r="A986" t="str">
            <v/>
          </cell>
        </row>
        <row r="987">
          <cell r="A987" t="str">
            <v/>
          </cell>
        </row>
        <row r="988">
          <cell r="A988" t="str">
            <v/>
          </cell>
        </row>
        <row r="989">
          <cell r="A989" t="str">
            <v/>
          </cell>
        </row>
        <row r="990">
          <cell r="A990" t="str">
            <v/>
          </cell>
        </row>
        <row r="991">
          <cell r="A991" t="str">
            <v/>
          </cell>
        </row>
        <row r="992">
          <cell r="A992" t="str">
            <v/>
          </cell>
        </row>
        <row r="993">
          <cell r="A993" t="str">
            <v/>
          </cell>
        </row>
        <row r="994">
          <cell r="A994" t="str">
            <v/>
          </cell>
        </row>
        <row r="995">
          <cell r="A995" t="str">
            <v/>
          </cell>
        </row>
        <row r="996">
          <cell r="A996" t="str">
            <v/>
          </cell>
        </row>
        <row r="997">
          <cell r="A997" t="str">
            <v/>
          </cell>
        </row>
        <row r="998">
          <cell r="A998" t="str">
            <v/>
          </cell>
        </row>
        <row r="999">
          <cell r="A999" t="str">
            <v/>
          </cell>
        </row>
        <row r="1000">
          <cell r="A1000" t="str">
            <v/>
          </cell>
        </row>
        <row r="1001">
          <cell r="A1001" t="str">
            <v/>
          </cell>
        </row>
        <row r="1002">
          <cell r="A1002" t="str">
            <v/>
          </cell>
        </row>
        <row r="1003">
          <cell r="A1003" t="str">
            <v/>
          </cell>
        </row>
        <row r="1004">
          <cell r="A1004" t="str">
            <v/>
          </cell>
        </row>
        <row r="1005">
          <cell r="A1005" t="str">
            <v/>
          </cell>
        </row>
        <row r="1006">
          <cell r="A1006" t="str">
            <v/>
          </cell>
        </row>
        <row r="1007">
          <cell r="A1007" t="str">
            <v/>
          </cell>
        </row>
        <row r="1008">
          <cell r="A1008" t="str">
            <v/>
          </cell>
        </row>
        <row r="1009">
          <cell r="A1009" t="str">
            <v/>
          </cell>
        </row>
        <row r="1010">
          <cell r="A1010" t="str">
            <v/>
          </cell>
        </row>
        <row r="1011">
          <cell r="A1011" t="str">
            <v/>
          </cell>
        </row>
        <row r="1012">
          <cell r="A1012" t="str">
            <v/>
          </cell>
        </row>
        <row r="1013">
          <cell r="A1013" t="str">
            <v/>
          </cell>
        </row>
        <row r="1014">
          <cell r="A1014" t="str">
            <v/>
          </cell>
        </row>
        <row r="1015">
          <cell r="A1015" t="str">
            <v/>
          </cell>
        </row>
        <row r="1016">
          <cell r="A1016" t="str">
            <v/>
          </cell>
        </row>
        <row r="1017">
          <cell r="A1017" t="str">
            <v/>
          </cell>
        </row>
        <row r="1018">
          <cell r="A1018" t="str">
            <v/>
          </cell>
        </row>
        <row r="1019">
          <cell r="A1019" t="str">
            <v/>
          </cell>
        </row>
        <row r="1020">
          <cell r="A1020" t="str">
            <v/>
          </cell>
        </row>
        <row r="1021">
          <cell r="A1021" t="str">
            <v/>
          </cell>
        </row>
        <row r="1022">
          <cell r="A1022" t="str">
            <v/>
          </cell>
        </row>
        <row r="1023">
          <cell r="A1023" t="str">
            <v/>
          </cell>
        </row>
        <row r="1024">
          <cell r="A1024" t="str">
            <v/>
          </cell>
        </row>
        <row r="1025">
          <cell r="A1025" t="str">
            <v/>
          </cell>
        </row>
        <row r="1026">
          <cell r="A1026" t="str">
            <v/>
          </cell>
        </row>
        <row r="1027">
          <cell r="A1027" t="str">
            <v/>
          </cell>
        </row>
        <row r="1028">
          <cell r="A1028" t="str">
            <v/>
          </cell>
        </row>
        <row r="1029">
          <cell r="A1029" t="str">
            <v/>
          </cell>
        </row>
        <row r="1030">
          <cell r="A1030" t="str">
            <v/>
          </cell>
        </row>
        <row r="1031">
          <cell r="A1031" t="str">
            <v/>
          </cell>
        </row>
        <row r="1032">
          <cell r="A1032" t="str">
            <v/>
          </cell>
        </row>
        <row r="1033">
          <cell r="A1033" t="str">
            <v/>
          </cell>
        </row>
        <row r="1034">
          <cell r="A1034" t="str">
            <v/>
          </cell>
        </row>
        <row r="1035">
          <cell r="A1035" t="str">
            <v/>
          </cell>
        </row>
        <row r="1036">
          <cell r="A1036" t="str">
            <v/>
          </cell>
        </row>
        <row r="1037">
          <cell r="A1037" t="str">
            <v/>
          </cell>
        </row>
        <row r="1038">
          <cell r="A1038" t="str">
            <v/>
          </cell>
        </row>
        <row r="1039">
          <cell r="A1039" t="str">
            <v/>
          </cell>
        </row>
        <row r="1040">
          <cell r="A1040" t="str">
            <v/>
          </cell>
        </row>
        <row r="1041">
          <cell r="A1041" t="str">
            <v/>
          </cell>
        </row>
        <row r="1042">
          <cell r="A1042" t="str">
            <v/>
          </cell>
        </row>
        <row r="1043">
          <cell r="A1043" t="str">
            <v/>
          </cell>
        </row>
        <row r="1044">
          <cell r="A1044" t="str">
            <v/>
          </cell>
        </row>
        <row r="1045">
          <cell r="A1045" t="str">
            <v/>
          </cell>
        </row>
        <row r="1046">
          <cell r="A1046" t="str">
            <v/>
          </cell>
        </row>
        <row r="1047">
          <cell r="A1047" t="str">
            <v/>
          </cell>
        </row>
        <row r="1048">
          <cell r="A1048" t="str">
            <v/>
          </cell>
        </row>
        <row r="1049">
          <cell r="A1049" t="str">
            <v/>
          </cell>
        </row>
        <row r="1050">
          <cell r="A1050" t="str">
            <v/>
          </cell>
        </row>
        <row r="1051">
          <cell r="A1051" t="str">
            <v/>
          </cell>
        </row>
        <row r="1052">
          <cell r="A1052" t="str">
            <v/>
          </cell>
        </row>
        <row r="1053">
          <cell r="A1053" t="str">
            <v/>
          </cell>
        </row>
        <row r="1054">
          <cell r="A1054" t="str">
            <v/>
          </cell>
        </row>
        <row r="1055">
          <cell r="A1055" t="str">
            <v/>
          </cell>
        </row>
        <row r="1056">
          <cell r="A1056" t="str">
            <v/>
          </cell>
        </row>
        <row r="1057">
          <cell r="A1057" t="str">
            <v/>
          </cell>
        </row>
        <row r="1058">
          <cell r="A1058" t="str">
            <v/>
          </cell>
        </row>
        <row r="1059">
          <cell r="A1059" t="str">
            <v/>
          </cell>
        </row>
        <row r="1060">
          <cell r="A1060" t="str">
            <v/>
          </cell>
        </row>
        <row r="1061">
          <cell r="A1061" t="str">
            <v/>
          </cell>
        </row>
        <row r="1062">
          <cell r="A1062" t="str">
            <v/>
          </cell>
        </row>
        <row r="1063">
          <cell r="A1063" t="str">
            <v/>
          </cell>
        </row>
        <row r="1064">
          <cell r="A1064" t="str">
            <v/>
          </cell>
        </row>
        <row r="1065">
          <cell r="A1065" t="str">
            <v/>
          </cell>
        </row>
        <row r="1066">
          <cell r="A1066" t="str">
            <v/>
          </cell>
        </row>
        <row r="1067">
          <cell r="A1067" t="str">
            <v/>
          </cell>
        </row>
        <row r="1068">
          <cell r="A1068" t="str">
            <v/>
          </cell>
        </row>
        <row r="1069">
          <cell r="A1069" t="str">
            <v/>
          </cell>
        </row>
        <row r="1070">
          <cell r="A1070" t="str">
            <v/>
          </cell>
        </row>
        <row r="1071">
          <cell r="A1071" t="str">
            <v/>
          </cell>
        </row>
        <row r="1072">
          <cell r="A1072" t="str">
            <v/>
          </cell>
        </row>
        <row r="1073">
          <cell r="A1073" t="str">
            <v/>
          </cell>
        </row>
        <row r="1074">
          <cell r="A1074" t="str">
            <v/>
          </cell>
        </row>
        <row r="1075">
          <cell r="A1075" t="str">
            <v/>
          </cell>
        </row>
        <row r="1076">
          <cell r="A1076" t="str">
            <v/>
          </cell>
        </row>
        <row r="1077">
          <cell r="A1077" t="str">
            <v/>
          </cell>
        </row>
        <row r="1078">
          <cell r="A1078" t="str">
            <v/>
          </cell>
        </row>
        <row r="1079">
          <cell r="A1079" t="str">
            <v/>
          </cell>
        </row>
        <row r="1080">
          <cell r="A1080" t="str">
            <v/>
          </cell>
        </row>
        <row r="1081">
          <cell r="A1081" t="str">
            <v/>
          </cell>
        </row>
        <row r="1082">
          <cell r="A1082" t="str">
            <v/>
          </cell>
        </row>
        <row r="1083">
          <cell r="A1083" t="str">
            <v/>
          </cell>
        </row>
        <row r="1084">
          <cell r="A1084" t="str">
            <v/>
          </cell>
        </row>
        <row r="1085">
          <cell r="A1085" t="str">
            <v/>
          </cell>
        </row>
        <row r="1086">
          <cell r="A1086" t="str">
            <v/>
          </cell>
        </row>
        <row r="1087">
          <cell r="A1087" t="str">
            <v/>
          </cell>
        </row>
        <row r="1088">
          <cell r="A1088" t="str">
            <v/>
          </cell>
        </row>
        <row r="1089">
          <cell r="A1089" t="str">
            <v/>
          </cell>
        </row>
        <row r="1090">
          <cell r="A1090" t="str">
            <v/>
          </cell>
        </row>
        <row r="1091">
          <cell r="A1091" t="str">
            <v/>
          </cell>
        </row>
        <row r="1092">
          <cell r="A1092" t="str">
            <v/>
          </cell>
        </row>
        <row r="1093">
          <cell r="A1093" t="str">
            <v/>
          </cell>
        </row>
        <row r="1094">
          <cell r="A1094" t="str">
            <v/>
          </cell>
        </row>
        <row r="1095">
          <cell r="A1095" t="str">
            <v/>
          </cell>
        </row>
        <row r="1096">
          <cell r="A1096" t="str">
            <v/>
          </cell>
        </row>
        <row r="1097">
          <cell r="A1097" t="str">
            <v/>
          </cell>
        </row>
        <row r="1098">
          <cell r="A1098" t="str">
            <v/>
          </cell>
        </row>
        <row r="1099">
          <cell r="A1099" t="str">
            <v/>
          </cell>
        </row>
        <row r="1100">
          <cell r="A1100" t="str">
            <v/>
          </cell>
        </row>
        <row r="1101">
          <cell r="A1101" t="str">
            <v/>
          </cell>
        </row>
        <row r="1102">
          <cell r="A1102" t="str">
            <v/>
          </cell>
        </row>
        <row r="1103">
          <cell r="A1103" t="str">
            <v/>
          </cell>
        </row>
        <row r="1104">
          <cell r="A1104" t="str">
            <v/>
          </cell>
        </row>
        <row r="1105">
          <cell r="A1105" t="str">
            <v/>
          </cell>
        </row>
        <row r="1106">
          <cell r="A1106" t="str">
            <v/>
          </cell>
        </row>
        <row r="1107">
          <cell r="A1107" t="str">
            <v/>
          </cell>
        </row>
        <row r="1108">
          <cell r="A1108" t="str">
            <v/>
          </cell>
        </row>
        <row r="1109">
          <cell r="A1109" t="str">
            <v/>
          </cell>
        </row>
        <row r="1110">
          <cell r="A1110" t="str">
            <v/>
          </cell>
        </row>
        <row r="1111">
          <cell r="A1111" t="str">
            <v/>
          </cell>
        </row>
        <row r="1112">
          <cell r="A1112" t="str">
            <v/>
          </cell>
        </row>
        <row r="1113">
          <cell r="A1113" t="str">
            <v/>
          </cell>
        </row>
        <row r="1114">
          <cell r="A1114" t="str">
            <v/>
          </cell>
        </row>
        <row r="1115">
          <cell r="A1115" t="str">
            <v/>
          </cell>
        </row>
        <row r="1116">
          <cell r="A1116" t="str">
            <v/>
          </cell>
        </row>
        <row r="1117">
          <cell r="A1117" t="str">
            <v/>
          </cell>
        </row>
        <row r="1118">
          <cell r="A1118" t="str">
            <v/>
          </cell>
        </row>
        <row r="1119">
          <cell r="A1119" t="str">
            <v/>
          </cell>
        </row>
        <row r="1120">
          <cell r="A1120" t="str">
            <v/>
          </cell>
        </row>
        <row r="1121">
          <cell r="A1121" t="str">
            <v/>
          </cell>
        </row>
        <row r="1122">
          <cell r="A1122" t="str">
            <v/>
          </cell>
        </row>
        <row r="1123">
          <cell r="A1123" t="str">
            <v/>
          </cell>
        </row>
        <row r="1124">
          <cell r="A1124" t="str">
            <v/>
          </cell>
        </row>
        <row r="1125">
          <cell r="A1125" t="str">
            <v/>
          </cell>
        </row>
        <row r="1126">
          <cell r="A1126" t="str">
            <v/>
          </cell>
        </row>
        <row r="1127">
          <cell r="A1127" t="str">
            <v/>
          </cell>
        </row>
        <row r="1128">
          <cell r="A1128" t="str">
            <v/>
          </cell>
        </row>
        <row r="1129">
          <cell r="A1129" t="str">
            <v/>
          </cell>
        </row>
        <row r="1130">
          <cell r="A1130" t="str">
            <v/>
          </cell>
        </row>
        <row r="1131">
          <cell r="A1131" t="str">
            <v/>
          </cell>
        </row>
        <row r="1132">
          <cell r="A1132" t="str">
            <v/>
          </cell>
        </row>
        <row r="1133">
          <cell r="A1133" t="str">
            <v/>
          </cell>
        </row>
        <row r="1134">
          <cell r="A1134" t="str">
            <v/>
          </cell>
        </row>
        <row r="1135">
          <cell r="A1135" t="str">
            <v/>
          </cell>
        </row>
        <row r="1136">
          <cell r="A1136" t="str">
            <v/>
          </cell>
        </row>
        <row r="1137">
          <cell r="A1137" t="str">
            <v/>
          </cell>
        </row>
        <row r="1138">
          <cell r="A1138" t="str">
            <v/>
          </cell>
        </row>
        <row r="1139">
          <cell r="A1139" t="str">
            <v/>
          </cell>
        </row>
        <row r="1140">
          <cell r="A1140" t="str">
            <v/>
          </cell>
        </row>
        <row r="1141">
          <cell r="A1141" t="str">
            <v/>
          </cell>
        </row>
        <row r="1142">
          <cell r="A1142" t="str">
            <v/>
          </cell>
        </row>
        <row r="1143">
          <cell r="A1143" t="str">
            <v/>
          </cell>
        </row>
        <row r="1144">
          <cell r="A1144" t="str">
            <v/>
          </cell>
        </row>
        <row r="1145">
          <cell r="A1145" t="str">
            <v/>
          </cell>
        </row>
        <row r="1146">
          <cell r="A1146" t="str">
            <v/>
          </cell>
        </row>
        <row r="1147">
          <cell r="A1147" t="str">
            <v/>
          </cell>
        </row>
        <row r="1148">
          <cell r="A1148" t="str">
            <v/>
          </cell>
        </row>
        <row r="1149">
          <cell r="A1149" t="str">
            <v/>
          </cell>
        </row>
        <row r="1150">
          <cell r="A1150" t="str">
            <v/>
          </cell>
        </row>
        <row r="1151">
          <cell r="A1151" t="str">
            <v/>
          </cell>
        </row>
        <row r="1152">
          <cell r="A1152" t="str">
            <v/>
          </cell>
        </row>
        <row r="1153">
          <cell r="A1153" t="str">
            <v/>
          </cell>
        </row>
        <row r="1154">
          <cell r="A1154" t="str">
            <v/>
          </cell>
        </row>
        <row r="1155">
          <cell r="A1155" t="str">
            <v/>
          </cell>
        </row>
        <row r="1156">
          <cell r="A1156" t="str">
            <v/>
          </cell>
        </row>
        <row r="1157">
          <cell r="A1157" t="str">
            <v/>
          </cell>
        </row>
        <row r="1158">
          <cell r="A1158" t="str">
            <v/>
          </cell>
        </row>
        <row r="1159">
          <cell r="A1159" t="str">
            <v/>
          </cell>
        </row>
        <row r="1160">
          <cell r="A1160" t="str">
            <v/>
          </cell>
        </row>
        <row r="1161">
          <cell r="A1161" t="str">
            <v/>
          </cell>
        </row>
        <row r="1162">
          <cell r="A1162" t="str">
            <v/>
          </cell>
        </row>
        <row r="1163">
          <cell r="A1163" t="str">
            <v/>
          </cell>
        </row>
        <row r="1164">
          <cell r="A1164" t="str">
            <v/>
          </cell>
        </row>
        <row r="1165">
          <cell r="A1165" t="str">
            <v/>
          </cell>
        </row>
        <row r="1166">
          <cell r="A1166" t="str">
            <v/>
          </cell>
        </row>
        <row r="1167">
          <cell r="A1167" t="str">
            <v/>
          </cell>
        </row>
        <row r="1168">
          <cell r="A1168" t="str">
            <v/>
          </cell>
        </row>
        <row r="1169">
          <cell r="A1169" t="str">
            <v/>
          </cell>
        </row>
        <row r="1170">
          <cell r="A1170" t="str">
            <v/>
          </cell>
        </row>
        <row r="1171">
          <cell r="A1171" t="str">
            <v/>
          </cell>
        </row>
        <row r="1172">
          <cell r="A1172" t="str">
            <v/>
          </cell>
        </row>
        <row r="1173">
          <cell r="A1173" t="str">
            <v/>
          </cell>
        </row>
        <row r="1174">
          <cell r="A1174" t="str">
            <v/>
          </cell>
        </row>
        <row r="1175">
          <cell r="A1175" t="str">
            <v/>
          </cell>
        </row>
        <row r="1176">
          <cell r="A1176" t="str">
            <v/>
          </cell>
        </row>
        <row r="1177">
          <cell r="A1177" t="str">
            <v/>
          </cell>
        </row>
        <row r="1178">
          <cell r="A1178" t="str">
            <v/>
          </cell>
        </row>
        <row r="1179">
          <cell r="A1179" t="str">
            <v/>
          </cell>
        </row>
        <row r="1180">
          <cell r="A1180" t="str">
            <v/>
          </cell>
        </row>
        <row r="1181">
          <cell r="A1181" t="str">
            <v/>
          </cell>
        </row>
        <row r="1182">
          <cell r="A1182" t="str">
            <v/>
          </cell>
        </row>
        <row r="1183">
          <cell r="A1183" t="str">
            <v/>
          </cell>
        </row>
        <row r="1184">
          <cell r="A1184" t="str">
            <v/>
          </cell>
        </row>
        <row r="1185">
          <cell r="A1185" t="str">
            <v/>
          </cell>
        </row>
        <row r="1186">
          <cell r="A1186" t="str">
            <v/>
          </cell>
        </row>
        <row r="1187">
          <cell r="A1187" t="str">
            <v/>
          </cell>
        </row>
        <row r="1188">
          <cell r="A1188" t="str">
            <v/>
          </cell>
        </row>
        <row r="1189">
          <cell r="A1189" t="str">
            <v/>
          </cell>
        </row>
        <row r="1190">
          <cell r="A1190" t="str">
            <v/>
          </cell>
        </row>
        <row r="1191">
          <cell r="A1191" t="str">
            <v/>
          </cell>
        </row>
        <row r="1192">
          <cell r="A1192" t="str">
            <v/>
          </cell>
        </row>
        <row r="1193">
          <cell r="A1193" t="str">
            <v/>
          </cell>
        </row>
        <row r="1194">
          <cell r="A1194" t="str">
            <v/>
          </cell>
        </row>
        <row r="1195">
          <cell r="A1195" t="str">
            <v/>
          </cell>
        </row>
        <row r="1196">
          <cell r="A1196" t="str">
            <v/>
          </cell>
        </row>
        <row r="1197">
          <cell r="A1197" t="str">
            <v/>
          </cell>
        </row>
        <row r="1198">
          <cell r="A1198" t="str">
            <v/>
          </cell>
        </row>
        <row r="1199">
          <cell r="A1199" t="str">
            <v/>
          </cell>
        </row>
        <row r="1200">
          <cell r="A1200" t="str">
            <v/>
          </cell>
        </row>
        <row r="1201">
          <cell r="A1201" t="str">
            <v/>
          </cell>
        </row>
        <row r="1202">
          <cell r="A1202" t="str">
            <v/>
          </cell>
        </row>
        <row r="1203">
          <cell r="A1203" t="str">
            <v/>
          </cell>
        </row>
        <row r="1204">
          <cell r="A1204" t="str">
            <v/>
          </cell>
        </row>
        <row r="1205">
          <cell r="A1205" t="str">
            <v/>
          </cell>
        </row>
        <row r="1206">
          <cell r="A1206" t="str">
            <v/>
          </cell>
        </row>
        <row r="1207">
          <cell r="A1207" t="str">
            <v/>
          </cell>
        </row>
        <row r="1208">
          <cell r="A1208" t="str">
            <v/>
          </cell>
        </row>
        <row r="1209">
          <cell r="A1209" t="str">
            <v/>
          </cell>
        </row>
        <row r="1210">
          <cell r="A1210" t="str">
            <v/>
          </cell>
        </row>
        <row r="1211">
          <cell r="A1211" t="str">
            <v/>
          </cell>
        </row>
        <row r="1212">
          <cell r="A1212" t="str">
            <v/>
          </cell>
        </row>
        <row r="1213">
          <cell r="A1213" t="str">
            <v/>
          </cell>
        </row>
        <row r="1214">
          <cell r="A1214" t="str">
            <v/>
          </cell>
        </row>
        <row r="1215">
          <cell r="A1215" t="str">
            <v/>
          </cell>
        </row>
        <row r="1216">
          <cell r="A1216" t="str">
            <v/>
          </cell>
        </row>
        <row r="1217">
          <cell r="A1217" t="str">
            <v/>
          </cell>
        </row>
        <row r="1218">
          <cell r="A1218" t="str">
            <v/>
          </cell>
        </row>
        <row r="1219">
          <cell r="A1219" t="str">
            <v/>
          </cell>
        </row>
        <row r="1220">
          <cell r="A1220" t="str">
            <v/>
          </cell>
        </row>
        <row r="1221">
          <cell r="A1221" t="str">
            <v/>
          </cell>
        </row>
        <row r="1222">
          <cell r="A1222" t="str">
            <v/>
          </cell>
        </row>
        <row r="1223">
          <cell r="A1223" t="str">
            <v/>
          </cell>
        </row>
        <row r="1224">
          <cell r="A1224" t="str">
            <v/>
          </cell>
        </row>
        <row r="1225">
          <cell r="A1225" t="str">
            <v/>
          </cell>
        </row>
        <row r="1226">
          <cell r="A1226" t="str">
            <v/>
          </cell>
        </row>
        <row r="1227">
          <cell r="A1227" t="str">
            <v/>
          </cell>
        </row>
        <row r="1228">
          <cell r="A1228" t="str">
            <v/>
          </cell>
        </row>
        <row r="1229">
          <cell r="A1229" t="str">
            <v/>
          </cell>
        </row>
        <row r="1230">
          <cell r="A1230" t="str">
            <v/>
          </cell>
        </row>
        <row r="1231">
          <cell r="A1231" t="str">
            <v/>
          </cell>
        </row>
        <row r="1232">
          <cell r="A1232" t="str">
            <v/>
          </cell>
        </row>
        <row r="1233">
          <cell r="A1233" t="str">
            <v/>
          </cell>
        </row>
        <row r="1234">
          <cell r="A1234" t="str">
            <v/>
          </cell>
        </row>
        <row r="1235">
          <cell r="A1235" t="str">
            <v/>
          </cell>
        </row>
        <row r="1236">
          <cell r="A1236" t="str">
            <v/>
          </cell>
        </row>
        <row r="1237">
          <cell r="A1237" t="str">
            <v/>
          </cell>
        </row>
        <row r="1238">
          <cell r="A1238" t="str">
            <v/>
          </cell>
        </row>
        <row r="1239">
          <cell r="A1239" t="str">
            <v/>
          </cell>
        </row>
        <row r="1240">
          <cell r="A1240" t="str">
            <v/>
          </cell>
        </row>
        <row r="1241">
          <cell r="A1241" t="str">
            <v/>
          </cell>
        </row>
        <row r="1242">
          <cell r="A1242" t="str">
            <v/>
          </cell>
        </row>
        <row r="1243">
          <cell r="A1243" t="str">
            <v/>
          </cell>
        </row>
        <row r="1244">
          <cell r="A1244" t="str">
            <v/>
          </cell>
        </row>
        <row r="1245">
          <cell r="A1245" t="str">
            <v/>
          </cell>
        </row>
        <row r="1246">
          <cell r="A1246" t="str">
            <v/>
          </cell>
        </row>
        <row r="1247">
          <cell r="A1247" t="str">
            <v/>
          </cell>
        </row>
        <row r="1248">
          <cell r="A1248" t="str">
            <v/>
          </cell>
        </row>
        <row r="1249">
          <cell r="A1249" t="str">
            <v/>
          </cell>
        </row>
        <row r="1250">
          <cell r="A1250" t="str">
            <v/>
          </cell>
        </row>
        <row r="1251">
          <cell r="A1251" t="str">
            <v/>
          </cell>
        </row>
        <row r="1252">
          <cell r="A1252" t="str">
            <v/>
          </cell>
        </row>
        <row r="1253">
          <cell r="A1253" t="str">
            <v/>
          </cell>
        </row>
        <row r="1254">
          <cell r="A1254" t="str">
            <v/>
          </cell>
        </row>
        <row r="1255">
          <cell r="A1255" t="str">
            <v/>
          </cell>
        </row>
        <row r="1256">
          <cell r="A1256" t="str">
            <v/>
          </cell>
        </row>
        <row r="1257">
          <cell r="A1257" t="str">
            <v/>
          </cell>
        </row>
        <row r="1258">
          <cell r="A1258" t="str">
            <v/>
          </cell>
        </row>
        <row r="1259">
          <cell r="A1259" t="str">
            <v/>
          </cell>
        </row>
        <row r="1260">
          <cell r="A1260" t="str">
            <v/>
          </cell>
        </row>
        <row r="1261">
          <cell r="A1261" t="str">
            <v/>
          </cell>
        </row>
        <row r="1262">
          <cell r="A1262" t="str">
            <v/>
          </cell>
        </row>
        <row r="1263">
          <cell r="A1263" t="str">
            <v/>
          </cell>
        </row>
        <row r="1264">
          <cell r="A1264" t="str">
            <v/>
          </cell>
        </row>
        <row r="1265">
          <cell r="A1265" t="str">
            <v/>
          </cell>
        </row>
        <row r="1266">
          <cell r="A1266" t="str">
            <v/>
          </cell>
        </row>
        <row r="1267">
          <cell r="A1267" t="str">
            <v/>
          </cell>
        </row>
        <row r="1268">
          <cell r="A1268" t="str">
            <v/>
          </cell>
        </row>
        <row r="1269">
          <cell r="A1269" t="str">
            <v/>
          </cell>
        </row>
        <row r="1270">
          <cell r="A1270" t="str">
            <v/>
          </cell>
        </row>
        <row r="1271">
          <cell r="A1271" t="str">
            <v/>
          </cell>
        </row>
        <row r="1272">
          <cell r="A1272" t="str">
            <v/>
          </cell>
        </row>
        <row r="1273">
          <cell r="A1273" t="str">
            <v/>
          </cell>
        </row>
        <row r="1274">
          <cell r="A1274" t="str">
            <v/>
          </cell>
        </row>
        <row r="1275">
          <cell r="A1275" t="str">
            <v/>
          </cell>
        </row>
        <row r="1276">
          <cell r="A1276" t="str">
            <v/>
          </cell>
        </row>
        <row r="1277">
          <cell r="A1277" t="str">
            <v/>
          </cell>
        </row>
        <row r="1278">
          <cell r="A1278" t="str">
            <v/>
          </cell>
        </row>
        <row r="1279">
          <cell r="A1279" t="str">
            <v/>
          </cell>
        </row>
        <row r="1280">
          <cell r="A1280" t="str">
            <v/>
          </cell>
        </row>
        <row r="1281">
          <cell r="A1281" t="str">
            <v/>
          </cell>
        </row>
        <row r="1282">
          <cell r="A1282" t="str">
            <v/>
          </cell>
        </row>
        <row r="1283">
          <cell r="A1283" t="str">
            <v/>
          </cell>
        </row>
        <row r="1284">
          <cell r="A1284" t="str">
            <v/>
          </cell>
        </row>
        <row r="1285">
          <cell r="A1285" t="str">
            <v/>
          </cell>
        </row>
        <row r="1286">
          <cell r="A1286" t="str">
            <v/>
          </cell>
        </row>
        <row r="1287">
          <cell r="A1287" t="str">
            <v/>
          </cell>
        </row>
        <row r="1288">
          <cell r="A1288" t="str">
            <v/>
          </cell>
        </row>
        <row r="1289">
          <cell r="A1289" t="str">
            <v/>
          </cell>
        </row>
        <row r="1290">
          <cell r="A1290" t="str">
            <v/>
          </cell>
        </row>
        <row r="1291">
          <cell r="A1291" t="str">
            <v/>
          </cell>
        </row>
        <row r="1292">
          <cell r="A1292" t="str">
            <v/>
          </cell>
        </row>
        <row r="1293">
          <cell r="A1293" t="str">
            <v/>
          </cell>
        </row>
        <row r="1294">
          <cell r="A1294" t="str">
            <v/>
          </cell>
        </row>
        <row r="1295">
          <cell r="A1295" t="str">
            <v/>
          </cell>
        </row>
        <row r="1296">
          <cell r="A1296" t="str">
            <v/>
          </cell>
        </row>
        <row r="1297">
          <cell r="A1297" t="str">
            <v/>
          </cell>
        </row>
        <row r="1298">
          <cell r="A1298" t="str">
            <v/>
          </cell>
        </row>
        <row r="1299">
          <cell r="A1299" t="str">
            <v/>
          </cell>
        </row>
        <row r="1300">
          <cell r="A1300" t="str">
            <v/>
          </cell>
        </row>
        <row r="1301">
          <cell r="A1301" t="str">
            <v/>
          </cell>
        </row>
        <row r="1302">
          <cell r="A1302" t="str">
            <v/>
          </cell>
        </row>
        <row r="1303">
          <cell r="A1303" t="str">
            <v/>
          </cell>
        </row>
        <row r="1304">
          <cell r="A1304" t="str">
            <v/>
          </cell>
        </row>
        <row r="1305">
          <cell r="A1305" t="str">
            <v/>
          </cell>
        </row>
        <row r="1306">
          <cell r="A1306" t="str">
            <v/>
          </cell>
        </row>
        <row r="1307">
          <cell r="A1307" t="str">
            <v/>
          </cell>
        </row>
        <row r="1308">
          <cell r="A1308" t="str">
            <v/>
          </cell>
        </row>
        <row r="1309">
          <cell r="A1309" t="str">
            <v/>
          </cell>
        </row>
        <row r="1310">
          <cell r="A1310" t="str">
            <v/>
          </cell>
        </row>
        <row r="1311">
          <cell r="A1311" t="str">
            <v/>
          </cell>
        </row>
        <row r="1312">
          <cell r="A1312" t="str">
            <v/>
          </cell>
        </row>
        <row r="1313">
          <cell r="A1313" t="str">
            <v/>
          </cell>
        </row>
        <row r="1314">
          <cell r="A1314" t="str">
            <v/>
          </cell>
        </row>
        <row r="1315">
          <cell r="A1315" t="str">
            <v/>
          </cell>
        </row>
        <row r="1316">
          <cell r="A1316" t="str">
            <v/>
          </cell>
        </row>
        <row r="1317">
          <cell r="A1317" t="str">
            <v/>
          </cell>
        </row>
        <row r="1318">
          <cell r="A1318" t="str">
            <v/>
          </cell>
        </row>
        <row r="1319">
          <cell r="A1319" t="str">
            <v/>
          </cell>
        </row>
        <row r="1320">
          <cell r="A1320" t="str">
            <v/>
          </cell>
        </row>
        <row r="1321">
          <cell r="A1321" t="str">
            <v/>
          </cell>
        </row>
        <row r="1322">
          <cell r="A1322" t="str">
            <v/>
          </cell>
        </row>
        <row r="1323">
          <cell r="A1323" t="str">
            <v/>
          </cell>
        </row>
        <row r="1324">
          <cell r="A1324" t="str">
            <v/>
          </cell>
        </row>
        <row r="1325">
          <cell r="A1325" t="str">
            <v/>
          </cell>
        </row>
        <row r="1326">
          <cell r="A1326" t="str">
            <v/>
          </cell>
        </row>
        <row r="1327">
          <cell r="A1327" t="str">
            <v/>
          </cell>
        </row>
        <row r="1328">
          <cell r="A1328" t="str">
            <v/>
          </cell>
        </row>
        <row r="1329">
          <cell r="A1329" t="str">
            <v/>
          </cell>
        </row>
        <row r="1330">
          <cell r="A1330" t="str">
            <v/>
          </cell>
        </row>
        <row r="1331">
          <cell r="A1331" t="str">
            <v/>
          </cell>
        </row>
        <row r="1332">
          <cell r="A1332" t="str">
            <v/>
          </cell>
        </row>
        <row r="1333">
          <cell r="A1333" t="str">
            <v/>
          </cell>
        </row>
        <row r="1334">
          <cell r="A1334" t="str">
            <v/>
          </cell>
        </row>
        <row r="1335">
          <cell r="A1335" t="str">
            <v/>
          </cell>
        </row>
        <row r="1336">
          <cell r="A1336" t="str">
            <v/>
          </cell>
        </row>
        <row r="1337">
          <cell r="A1337" t="str">
            <v/>
          </cell>
        </row>
        <row r="1338">
          <cell r="A1338" t="str">
            <v/>
          </cell>
        </row>
        <row r="1339">
          <cell r="A1339" t="str">
            <v/>
          </cell>
        </row>
        <row r="1340">
          <cell r="A1340" t="str">
            <v/>
          </cell>
        </row>
        <row r="1341">
          <cell r="A1341" t="str">
            <v/>
          </cell>
        </row>
        <row r="1342">
          <cell r="A1342" t="str">
            <v/>
          </cell>
        </row>
        <row r="1343">
          <cell r="A1343" t="str">
            <v/>
          </cell>
        </row>
        <row r="1344">
          <cell r="A1344" t="str">
            <v/>
          </cell>
        </row>
        <row r="1345">
          <cell r="A1345" t="str">
            <v/>
          </cell>
        </row>
        <row r="1346">
          <cell r="A1346" t="str">
            <v/>
          </cell>
        </row>
        <row r="1347">
          <cell r="A1347" t="str">
            <v/>
          </cell>
        </row>
        <row r="1348">
          <cell r="A1348" t="str">
            <v/>
          </cell>
        </row>
        <row r="1349">
          <cell r="A1349" t="str">
            <v/>
          </cell>
        </row>
        <row r="1350">
          <cell r="A1350" t="str">
            <v/>
          </cell>
        </row>
        <row r="1351">
          <cell r="A1351" t="str">
            <v/>
          </cell>
        </row>
        <row r="1352">
          <cell r="A1352" t="str">
            <v/>
          </cell>
        </row>
        <row r="1353">
          <cell r="A1353" t="str">
            <v/>
          </cell>
        </row>
        <row r="1354">
          <cell r="A1354" t="str">
            <v/>
          </cell>
        </row>
        <row r="1355">
          <cell r="A1355" t="str">
            <v/>
          </cell>
        </row>
        <row r="1356">
          <cell r="A1356" t="str">
            <v/>
          </cell>
        </row>
        <row r="1357">
          <cell r="A1357" t="str">
            <v/>
          </cell>
        </row>
        <row r="1358">
          <cell r="A1358" t="str">
            <v/>
          </cell>
        </row>
        <row r="1359">
          <cell r="A1359" t="str">
            <v/>
          </cell>
        </row>
        <row r="1360">
          <cell r="A1360" t="str">
            <v/>
          </cell>
        </row>
        <row r="1361">
          <cell r="A1361" t="str">
            <v/>
          </cell>
        </row>
        <row r="1362">
          <cell r="A1362" t="str">
            <v/>
          </cell>
        </row>
        <row r="1363">
          <cell r="A1363" t="str">
            <v/>
          </cell>
        </row>
        <row r="1364">
          <cell r="A1364" t="str">
            <v/>
          </cell>
        </row>
        <row r="1365">
          <cell r="A1365" t="str">
            <v/>
          </cell>
        </row>
        <row r="1366">
          <cell r="A1366" t="str">
            <v/>
          </cell>
        </row>
        <row r="1367">
          <cell r="A1367" t="str">
            <v/>
          </cell>
        </row>
        <row r="1368">
          <cell r="A1368" t="str">
            <v/>
          </cell>
        </row>
        <row r="1369">
          <cell r="A1369" t="str">
            <v/>
          </cell>
        </row>
        <row r="1370">
          <cell r="A1370" t="str">
            <v/>
          </cell>
        </row>
        <row r="1371">
          <cell r="A1371" t="str">
            <v/>
          </cell>
        </row>
        <row r="1372">
          <cell r="A1372" t="str">
            <v/>
          </cell>
        </row>
        <row r="1373">
          <cell r="A1373" t="str">
            <v/>
          </cell>
        </row>
        <row r="1374">
          <cell r="A1374" t="str">
            <v/>
          </cell>
        </row>
        <row r="1375">
          <cell r="A1375" t="str">
            <v/>
          </cell>
        </row>
        <row r="1376">
          <cell r="A1376" t="str">
            <v/>
          </cell>
        </row>
        <row r="1377">
          <cell r="A1377" t="str">
            <v/>
          </cell>
        </row>
        <row r="1378">
          <cell r="A1378" t="str">
            <v/>
          </cell>
        </row>
        <row r="1379">
          <cell r="A1379" t="str">
            <v/>
          </cell>
        </row>
        <row r="1380">
          <cell r="A1380" t="str">
            <v/>
          </cell>
        </row>
        <row r="1381">
          <cell r="A1381" t="str">
            <v/>
          </cell>
        </row>
        <row r="1382">
          <cell r="A1382" t="str">
            <v/>
          </cell>
        </row>
        <row r="1383">
          <cell r="A1383" t="str">
            <v/>
          </cell>
        </row>
        <row r="1384">
          <cell r="A1384" t="str">
            <v/>
          </cell>
        </row>
        <row r="1385">
          <cell r="A1385" t="str">
            <v/>
          </cell>
        </row>
        <row r="1386">
          <cell r="A1386" t="str">
            <v/>
          </cell>
        </row>
        <row r="1387">
          <cell r="A1387" t="str">
            <v/>
          </cell>
        </row>
        <row r="1388">
          <cell r="A1388" t="str">
            <v/>
          </cell>
        </row>
        <row r="1389">
          <cell r="A1389" t="str">
            <v/>
          </cell>
        </row>
        <row r="1390">
          <cell r="A1390" t="str">
            <v/>
          </cell>
        </row>
        <row r="1391">
          <cell r="A1391" t="str">
            <v/>
          </cell>
        </row>
        <row r="1392">
          <cell r="A1392" t="str">
            <v/>
          </cell>
        </row>
        <row r="1393">
          <cell r="A1393" t="str">
            <v/>
          </cell>
        </row>
        <row r="1394">
          <cell r="A1394" t="str">
            <v/>
          </cell>
        </row>
        <row r="1395">
          <cell r="A1395" t="str">
            <v/>
          </cell>
        </row>
        <row r="1396">
          <cell r="A1396" t="str">
            <v/>
          </cell>
        </row>
        <row r="1397">
          <cell r="A1397" t="str">
            <v/>
          </cell>
        </row>
        <row r="1398">
          <cell r="A1398" t="str">
            <v/>
          </cell>
        </row>
        <row r="1399">
          <cell r="A1399" t="str">
            <v/>
          </cell>
        </row>
        <row r="1400">
          <cell r="A1400" t="str">
            <v/>
          </cell>
        </row>
        <row r="1401">
          <cell r="A1401" t="str">
            <v/>
          </cell>
        </row>
        <row r="1402">
          <cell r="A1402" t="str">
            <v/>
          </cell>
        </row>
        <row r="1403">
          <cell r="A1403" t="str">
            <v/>
          </cell>
        </row>
        <row r="1404">
          <cell r="A1404" t="str">
            <v/>
          </cell>
        </row>
        <row r="1405">
          <cell r="A1405" t="str">
            <v/>
          </cell>
        </row>
        <row r="1406">
          <cell r="A1406" t="str">
            <v/>
          </cell>
        </row>
        <row r="1407">
          <cell r="A1407" t="str">
            <v/>
          </cell>
        </row>
        <row r="1408">
          <cell r="A1408" t="str">
            <v/>
          </cell>
        </row>
        <row r="1409">
          <cell r="A1409" t="str">
            <v/>
          </cell>
        </row>
        <row r="1410">
          <cell r="A1410" t="str">
            <v/>
          </cell>
        </row>
        <row r="1411">
          <cell r="A1411" t="str">
            <v/>
          </cell>
        </row>
        <row r="1412">
          <cell r="A1412" t="str">
            <v/>
          </cell>
        </row>
        <row r="1413">
          <cell r="A1413" t="str">
            <v/>
          </cell>
        </row>
        <row r="1414">
          <cell r="A1414" t="str">
            <v/>
          </cell>
        </row>
        <row r="1415">
          <cell r="A1415" t="str">
            <v/>
          </cell>
        </row>
        <row r="1416">
          <cell r="A1416" t="str">
            <v/>
          </cell>
        </row>
        <row r="1417">
          <cell r="A1417" t="str">
            <v/>
          </cell>
        </row>
        <row r="1418">
          <cell r="A1418" t="str">
            <v/>
          </cell>
        </row>
        <row r="1419">
          <cell r="A1419" t="str">
            <v/>
          </cell>
        </row>
        <row r="1420">
          <cell r="A1420" t="str">
            <v/>
          </cell>
        </row>
        <row r="1421">
          <cell r="A1421" t="str">
            <v/>
          </cell>
        </row>
        <row r="1422">
          <cell r="A1422" t="str">
            <v/>
          </cell>
        </row>
        <row r="1423">
          <cell r="A1423" t="str">
            <v/>
          </cell>
        </row>
        <row r="1424">
          <cell r="A1424" t="str">
            <v/>
          </cell>
        </row>
        <row r="1425">
          <cell r="A1425" t="str">
            <v/>
          </cell>
        </row>
        <row r="1426">
          <cell r="A1426" t="str">
            <v/>
          </cell>
        </row>
        <row r="1427">
          <cell r="A1427" t="str">
            <v/>
          </cell>
        </row>
        <row r="1428">
          <cell r="A1428" t="str">
            <v/>
          </cell>
        </row>
        <row r="1429">
          <cell r="A1429" t="str">
            <v/>
          </cell>
        </row>
        <row r="1430">
          <cell r="A1430" t="str">
            <v/>
          </cell>
        </row>
        <row r="1431">
          <cell r="A1431" t="str">
            <v/>
          </cell>
        </row>
        <row r="1432">
          <cell r="A1432" t="str">
            <v/>
          </cell>
        </row>
        <row r="1433">
          <cell r="A1433" t="str">
            <v/>
          </cell>
        </row>
        <row r="1434">
          <cell r="A1434" t="str">
            <v/>
          </cell>
        </row>
        <row r="1435">
          <cell r="A1435" t="str">
            <v/>
          </cell>
        </row>
        <row r="1436">
          <cell r="A1436" t="str">
            <v/>
          </cell>
        </row>
        <row r="1437">
          <cell r="A1437" t="str">
            <v/>
          </cell>
        </row>
        <row r="1438">
          <cell r="A1438" t="str">
            <v/>
          </cell>
        </row>
        <row r="1439">
          <cell r="A1439" t="str">
            <v/>
          </cell>
        </row>
        <row r="1440">
          <cell r="A1440" t="str">
            <v/>
          </cell>
        </row>
        <row r="1441">
          <cell r="A1441" t="str">
            <v/>
          </cell>
        </row>
        <row r="1442">
          <cell r="A1442" t="str">
            <v/>
          </cell>
        </row>
        <row r="1443">
          <cell r="A1443" t="str">
            <v/>
          </cell>
        </row>
        <row r="1444">
          <cell r="A1444" t="str">
            <v/>
          </cell>
        </row>
        <row r="1445">
          <cell r="A1445" t="str">
            <v/>
          </cell>
        </row>
        <row r="1446">
          <cell r="A1446" t="str">
            <v/>
          </cell>
        </row>
        <row r="1447">
          <cell r="A1447" t="str">
            <v/>
          </cell>
        </row>
        <row r="1448">
          <cell r="A1448" t="str">
            <v/>
          </cell>
        </row>
        <row r="1449">
          <cell r="A1449" t="str">
            <v/>
          </cell>
        </row>
        <row r="1450">
          <cell r="A1450" t="str">
            <v/>
          </cell>
        </row>
        <row r="1451">
          <cell r="A1451" t="str">
            <v/>
          </cell>
        </row>
        <row r="1452">
          <cell r="A1452" t="str">
            <v/>
          </cell>
        </row>
        <row r="1453">
          <cell r="A1453" t="str">
            <v/>
          </cell>
        </row>
        <row r="1454">
          <cell r="A1454" t="str">
            <v/>
          </cell>
        </row>
        <row r="1455">
          <cell r="A1455" t="str">
            <v/>
          </cell>
        </row>
        <row r="1456">
          <cell r="A1456" t="str">
            <v/>
          </cell>
        </row>
        <row r="1457">
          <cell r="A1457" t="str">
            <v/>
          </cell>
        </row>
        <row r="1458">
          <cell r="A1458" t="str">
            <v/>
          </cell>
        </row>
        <row r="1459">
          <cell r="A1459" t="str">
            <v/>
          </cell>
        </row>
        <row r="1460">
          <cell r="A1460" t="str">
            <v/>
          </cell>
        </row>
        <row r="1461">
          <cell r="A1461" t="str">
            <v/>
          </cell>
        </row>
        <row r="1462">
          <cell r="A1462" t="str">
            <v/>
          </cell>
        </row>
        <row r="1463">
          <cell r="A1463" t="str">
            <v/>
          </cell>
        </row>
        <row r="1464">
          <cell r="A1464" t="str">
            <v/>
          </cell>
        </row>
        <row r="1465">
          <cell r="A1465" t="str">
            <v/>
          </cell>
        </row>
        <row r="1466">
          <cell r="A1466" t="str">
            <v/>
          </cell>
        </row>
        <row r="1467">
          <cell r="A1467" t="str">
            <v/>
          </cell>
        </row>
        <row r="1468">
          <cell r="A1468" t="str">
            <v/>
          </cell>
        </row>
        <row r="1469">
          <cell r="A1469" t="str">
            <v/>
          </cell>
        </row>
        <row r="1470">
          <cell r="A1470" t="str">
            <v/>
          </cell>
        </row>
        <row r="1471">
          <cell r="A1471" t="str">
            <v/>
          </cell>
        </row>
        <row r="1472">
          <cell r="A1472" t="str">
            <v/>
          </cell>
        </row>
        <row r="1473">
          <cell r="A1473" t="str">
            <v/>
          </cell>
        </row>
        <row r="1474">
          <cell r="A1474" t="str">
            <v/>
          </cell>
        </row>
        <row r="1475">
          <cell r="A1475" t="str">
            <v/>
          </cell>
        </row>
        <row r="1476">
          <cell r="A1476" t="str">
            <v/>
          </cell>
        </row>
        <row r="1477">
          <cell r="A1477" t="str">
            <v/>
          </cell>
        </row>
        <row r="1478">
          <cell r="A1478" t="str">
            <v/>
          </cell>
        </row>
        <row r="1479">
          <cell r="A1479" t="str">
            <v/>
          </cell>
        </row>
        <row r="1480">
          <cell r="A1480" t="str">
            <v/>
          </cell>
        </row>
        <row r="1481">
          <cell r="A1481" t="str">
            <v/>
          </cell>
        </row>
        <row r="1482">
          <cell r="A1482" t="str">
            <v/>
          </cell>
        </row>
        <row r="1483">
          <cell r="A1483" t="str">
            <v/>
          </cell>
        </row>
        <row r="1484">
          <cell r="A1484" t="str">
            <v/>
          </cell>
        </row>
        <row r="1485">
          <cell r="A1485" t="str">
            <v/>
          </cell>
        </row>
        <row r="1486">
          <cell r="A1486" t="str">
            <v/>
          </cell>
        </row>
        <row r="1487">
          <cell r="A1487" t="str">
            <v/>
          </cell>
        </row>
        <row r="1488">
          <cell r="A1488" t="str">
            <v/>
          </cell>
        </row>
        <row r="1489">
          <cell r="A1489" t="str">
            <v/>
          </cell>
        </row>
        <row r="1490">
          <cell r="A1490" t="str">
            <v/>
          </cell>
        </row>
        <row r="1491">
          <cell r="A1491" t="str">
            <v/>
          </cell>
        </row>
        <row r="1492">
          <cell r="A1492" t="str">
            <v/>
          </cell>
        </row>
        <row r="1493">
          <cell r="A1493" t="str">
            <v/>
          </cell>
        </row>
        <row r="1494">
          <cell r="A1494" t="str">
            <v/>
          </cell>
        </row>
        <row r="1495">
          <cell r="A1495" t="str">
            <v/>
          </cell>
        </row>
        <row r="1496">
          <cell r="A1496" t="str">
            <v/>
          </cell>
        </row>
        <row r="1497">
          <cell r="A1497" t="str">
            <v/>
          </cell>
        </row>
        <row r="1498">
          <cell r="A1498" t="str">
            <v/>
          </cell>
        </row>
        <row r="1499">
          <cell r="A1499" t="str">
            <v/>
          </cell>
        </row>
        <row r="1500">
          <cell r="A1500" t="str">
            <v/>
          </cell>
        </row>
        <row r="1501">
          <cell r="A1501" t="str">
            <v/>
          </cell>
        </row>
        <row r="1502">
          <cell r="A1502" t="str">
            <v/>
          </cell>
        </row>
        <row r="1503">
          <cell r="A1503" t="str">
            <v/>
          </cell>
        </row>
        <row r="1504">
          <cell r="A1504" t="str">
            <v/>
          </cell>
        </row>
        <row r="1505">
          <cell r="A1505" t="str">
            <v/>
          </cell>
        </row>
        <row r="1506">
          <cell r="A1506" t="str">
            <v/>
          </cell>
        </row>
        <row r="1507">
          <cell r="A1507" t="str">
            <v/>
          </cell>
        </row>
        <row r="1508">
          <cell r="A1508" t="str">
            <v/>
          </cell>
        </row>
        <row r="1509">
          <cell r="A1509" t="str">
            <v/>
          </cell>
        </row>
        <row r="1510">
          <cell r="A1510" t="str">
            <v/>
          </cell>
        </row>
        <row r="1511">
          <cell r="A1511" t="str">
            <v/>
          </cell>
        </row>
        <row r="1512">
          <cell r="A1512" t="str">
            <v/>
          </cell>
        </row>
        <row r="1513">
          <cell r="A1513" t="str">
            <v/>
          </cell>
        </row>
        <row r="1514">
          <cell r="A1514" t="str">
            <v/>
          </cell>
        </row>
        <row r="1515">
          <cell r="A1515" t="str">
            <v/>
          </cell>
        </row>
        <row r="1516">
          <cell r="A1516" t="str">
            <v/>
          </cell>
        </row>
        <row r="1517">
          <cell r="A1517" t="str">
            <v/>
          </cell>
        </row>
        <row r="1518">
          <cell r="A1518" t="str">
            <v/>
          </cell>
        </row>
        <row r="1519">
          <cell r="A1519" t="str">
            <v/>
          </cell>
        </row>
        <row r="1520">
          <cell r="A1520" t="str">
            <v/>
          </cell>
        </row>
        <row r="1521">
          <cell r="A1521" t="str">
            <v/>
          </cell>
        </row>
        <row r="1522">
          <cell r="A1522" t="str">
            <v/>
          </cell>
        </row>
        <row r="1523">
          <cell r="A1523" t="str">
            <v/>
          </cell>
        </row>
        <row r="1524">
          <cell r="A1524" t="str">
            <v/>
          </cell>
        </row>
        <row r="1525">
          <cell r="A1525" t="str">
            <v/>
          </cell>
        </row>
        <row r="1526">
          <cell r="A1526" t="str">
            <v/>
          </cell>
        </row>
        <row r="1527">
          <cell r="A1527" t="str">
            <v/>
          </cell>
        </row>
        <row r="1528">
          <cell r="A1528" t="str">
            <v/>
          </cell>
        </row>
        <row r="1529">
          <cell r="A1529" t="str">
            <v/>
          </cell>
        </row>
        <row r="1530">
          <cell r="A1530" t="str">
            <v/>
          </cell>
        </row>
        <row r="1531">
          <cell r="A1531" t="str">
            <v/>
          </cell>
        </row>
        <row r="1532">
          <cell r="A1532" t="str">
            <v/>
          </cell>
        </row>
        <row r="1533">
          <cell r="A1533" t="str">
            <v/>
          </cell>
        </row>
        <row r="1534">
          <cell r="A1534" t="str">
            <v/>
          </cell>
        </row>
        <row r="1535">
          <cell r="A1535" t="str">
            <v/>
          </cell>
        </row>
        <row r="1536">
          <cell r="A1536" t="str">
            <v/>
          </cell>
        </row>
        <row r="1537">
          <cell r="A1537" t="str">
            <v/>
          </cell>
        </row>
        <row r="1538">
          <cell r="A1538" t="str">
            <v/>
          </cell>
        </row>
        <row r="1539">
          <cell r="A1539" t="str">
            <v/>
          </cell>
        </row>
        <row r="1540">
          <cell r="A1540" t="str">
            <v/>
          </cell>
        </row>
        <row r="1541">
          <cell r="A1541" t="str">
            <v/>
          </cell>
        </row>
        <row r="1542">
          <cell r="A1542" t="str">
            <v/>
          </cell>
        </row>
        <row r="1543">
          <cell r="A1543" t="str">
            <v/>
          </cell>
        </row>
        <row r="1544">
          <cell r="A1544" t="str">
            <v/>
          </cell>
        </row>
        <row r="1545">
          <cell r="A1545" t="str">
            <v/>
          </cell>
        </row>
        <row r="1546">
          <cell r="A1546" t="str">
            <v/>
          </cell>
        </row>
        <row r="1547">
          <cell r="A1547" t="str">
            <v/>
          </cell>
        </row>
        <row r="1548">
          <cell r="A1548" t="str">
            <v/>
          </cell>
        </row>
        <row r="1549">
          <cell r="A1549" t="str">
            <v/>
          </cell>
        </row>
        <row r="1550">
          <cell r="A1550" t="str">
            <v/>
          </cell>
        </row>
        <row r="1551">
          <cell r="A1551" t="str">
            <v/>
          </cell>
        </row>
        <row r="1552">
          <cell r="A1552" t="str">
            <v/>
          </cell>
        </row>
        <row r="1553">
          <cell r="A1553" t="str">
            <v/>
          </cell>
        </row>
        <row r="1554">
          <cell r="A1554" t="str">
            <v/>
          </cell>
        </row>
        <row r="1555">
          <cell r="A1555" t="str">
            <v/>
          </cell>
        </row>
        <row r="1556">
          <cell r="A1556" t="str">
            <v/>
          </cell>
        </row>
        <row r="1557">
          <cell r="A1557" t="str">
            <v/>
          </cell>
        </row>
        <row r="1558">
          <cell r="A1558" t="str">
            <v/>
          </cell>
        </row>
        <row r="1559">
          <cell r="A1559" t="str">
            <v/>
          </cell>
        </row>
        <row r="1560">
          <cell r="A1560" t="str">
            <v/>
          </cell>
        </row>
        <row r="1561">
          <cell r="A1561" t="str">
            <v/>
          </cell>
        </row>
        <row r="1562">
          <cell r="A1562" t="str">
            <v/>
          </cell>
        </row>
        <row r="1563">
          <cell r="A1563" t="str">
            <v/>
          </cell>
        </row>
        <row r="1564">
          <cell r="A1564" t="str">
            <v/>
          </cell>
        </row>
        <row r="1565">
          <cell r="A1565" t="str">
            <v/>
          </cell>
        </row>
        <row r="1566">
          <cell r="A1566" t="str">
            <v/>
          </cell>
        </row>
        <row r="1567">
          <cell r="A1567" t="str">
            <v/>
          </cell>
        </row>
        <row r="1568">
          <cell r="A1568" t="str">
            <v/>
          </cell>
        </row>
        <row r="1569">
          <cell r="A1569" t="str">
            <v/>
          </cell>
        </row>
        <row r="1570">
          <cell r="A1570" t="str">
            <v/>
          </cell>
        </row>
        <row r="1571">
          <cell r="A1571" t="str">
            <v/>
          </cell>
        </row>
        <row r="1572">
          <cell r="A1572" t="str">
            <v/>
          </cell>
        </row>
        <row r="1573">
          <cell r="A1573" t="str">
            <v/>
          </cell>
        </row>
        <row r="1574">
          <cell r="A1574" t="str">
            <v/>
          </cell>
        </row>
        <row r="1575">
          <cell r="A1575" t="str">
            <v/>
          </cell>
        </row>
        <row r="1576">
          <cell r="A1576" t="str">
            <v/>
          </cell>
        </row>
        <row r="1577">
          <cell r="A1577" t="str">
            <v/>
          </cell>
        </row>
        <row r="1578">
          <cell r="A1578" t="str">
            <v/>
          </cell>
        </row>
        <row r="1579">
          <cell r="A1579" t="str">
            <v/>
          </cell>
        </row>
        <row r="1580">
          <cell r="A1580" t="str">
            <v/>
          </cell>
        </row>
        <row r="1581">
          <cell r="A1581" t="str">
            <v/>
          </cell>
        </row>
        <row r="1582">
          <cell r="A1582" t="str">
            <v/>
          </cell>
        </row>
        <row r="1583">
          <cell r="A1583" t="str">
            <v/>
          </cell>
        </row>
        <row r="1584">
          <cell r="A1584" t="str">
            <v/>
          </cell>
        </row>
        <row r="1585">
          <cell r="A1585" t="str">
            <v/>
          </cell>
        </row>
        <row r="1586">
          <cell r="A1586" t="str">
            <v/>
          </cell>
        </row>
        <row r="1587">
          <cell r="A1587" t="str">
            <v/>
          </cell>
        </row>
        <row r="1588">
          <cell r="A1588" t="str">
            <v/>
          </cell>
        </row>
        <row r="1589">
          <cell r="A1589" t="str">
            <v/>
          </cell>
        </row>
        <row r="1590">
          <cell r="A1590" t="str">
            <v/>
          </cell>
        </row>
        <row r="1591">
          <cell r="A1591" t="str">
            <v/>
          </cell>
        </row>
        <row r="1592">
          <cell r="A1592" t="str">
            <v/>
          </cell>
        </row>
        <row r="1593">
          <cell r="A1593" t="str">
            <v/>
          </cell>
        </row>
        <row r="1594">
          <cell r="A1594" t="str">
            <v/>
          </cell>
        </row>
        <row r="1595">
          <cell r="A1595" t="str">
            <v/>
          </cell>
        </row>
        <row r="1596">
          <cell r="A1596" t="str">
            <v/>
          </cell>
        </row>
        <row r="1597">
          <cell r="A1597" t="str">
            <v/>
          </cell>
        </row>
        <row r="1598">
          <cell r="A1598" t="str">
            <v/>
          </cell>
        </row>
        <row r="1599">
          <cell r="A1599" t="str">
            <v/>
          </cell>
        </row>
        <row r="1600">
          <cell r="A1600" t="str">
            <v/>
          </cell>
        </row>
        <row r="1601">
          <cell r="A1601" t="str">
            <v/>
          </cell>
        </row>
        <row r="1602">
          <cell r="A1602" t="str">
            <v/>
          </cell>
        </row>
        <row r="1603">
          <cell r="A1603" t="str">
            <v/>
          </cell>
        </row>
        <row r="1604">
          <cell r="A1604" t="str">
            <v/>
          </cell>
        </row>
        <row r="1605">
          <cell r="A1605" t="str">
            <v/>
          </cell>
        </row>
        <row r="1606">
          <cell r="A1606" t="str">
            <v/>
          </cell>
        </row>
        <row r="1607">
          <cell r="A1607" t="str">
            <v/>
          </cell>
        </row>
        <row r="1608">
          <cell r="A1608" t="str">
            <v/>
          </cell>
        </row>
        <row r="1609">
          <cell r="A1609" t="str">
            <v/>
          </cell>
        </row>
        <row r="1610">
          <cell r="A1610" t="str">
            <v/>
          </cell>
        </row>
        <row r="1611">
          <cell r="A1611" t="str">
            <v/>
          </cell>
        </row>
        <row r="1612">
          <cell r="A1612" t="str">
            <v/>
          </cell>
        </row>
        <row r="1613">
          <cell r="A1613" t="str">
            <v/>
          </cell>
        </row>
        <row r="1614">
          <cell r="A1614" t="str">
            <v/>
          </cell>
        </row>
        <row r="1615">
          <cell r="A1615" t="str">
            <v/>
          </cell>
        </row>
        <row r="1616">
          <cell r="A1616" t="str">
            <v/>
          </cell>
        </row>
        <row r="1617">
          <cell r="A1617" t="str">
            <v/>
          </cell>
        </row>
        <row r="1618">
          <cell r="A1618" t="str">
            <v/>
          </cell>
        </row>
        <row r="1619">
          <cell r="A1619" t="str">
            <v/>
          </cell>
        </row>
        <row r="1620">
          <cell r="A1620" t="str">
            <v/>
          </cell>
        </row>
        <row r="1621">
          <cell r="A1621" t="str">
            <v/>
          </cell>
        </row>
        <row r="1622">
          <cell r="A1622" t="str">
            <v/>
          </cell>
        </row>
        <row r="1623">
          <cell r="A1623" t="str">
            <v/>
          </cell>
        </row>
        <row r="1624">
          <cell r="A1624" t="str">
            <v/>
          </cell>
        </row>
        <row r="1625">
          <cell r="A1625" t="str">
            <v/>
          </cell>
        </row>
        <row r="1626">
          <cell r="A1626" t="str">
            <v/>
          </cell>
        </row>
        <row r="1627">
          <cell r="A1627" t="str">
            <v/>
          </cell>
        </row>
        <row r="1628">
          <cell r="A1628" t="str">
            <v/>
          </cell>
        </row>
        <row r="1629">
          <cell r="A1629" t="str">
            <v/>
          </cell>
        </row>
        <row r="1630">
          <cell r="A1630" t="str">
            <v/>
          </cell>
        </row>
        <row r="1631">
          <cell r="A1631" t="str">
            <v/>
          </cell>
        </row>
        <row r="1632">
          <cell r="A1632" t="str">
            <v/>
          </cell>
        </row>
        <row r="1633">
          <cell r="A1633" t="str">
            <v/>
          </cell>
        </row>
        <row r="1634">
          <cell r="A1634" t="str">
            <v/>
          </cell>
        </row>
        <row r="1635">
          <cell r="A1635" t="str">
            <v/>
          </cell>
        </row>
        <row r="1636">
          <cell r="A1636" t="str">
            <v/>
          </cell>
        </row>
        <row r="1637">
          <cell r="A1637" t="str">
            <v/>
          </cell>
        </row>
        <row r="1638">
          <cell r="A1638" t="str">
            <v/>
          </cell>
        </row>
        <row r="1639">
          <cell r="A1639" t="str">
            <v/>
          </cell>
        </row>
        <row r="1640">
          <cell r="A1640" t="str">
            <v/>
          </cell>
        </row>
        <row r="1641">
          <cell r="A1641" t="str">
            <v/>
          </cell>
        </row>
        <row r="1642">
          <cell r="A1642" t="str">
            <v/>
          </cell>
        </row>
        <row r="1643">
          <cell r="A1643" t="str">
            <v/>
          </cell>
        </row>
        <row r="1644">
          <cell r="A1644" t="str">
            <v/>
          </cell>
        </row>
        <row r="1645">
          <cell r="A1645" t="str">
            <v/>
          </cell>
        </row>
        <row r="1646">
          <cell r="A1646" t="str">
            <v/>
          </cell>
        </row>
        <row r="1647">
          <cell r="A1647" t="str">
            <v/>
          </cell>
        </row>
        <row r="1648">
          <cell r="A1648" t="str">
            <v/>
          </cell>
        </row>
        <row r="1649">
          <cell r="A1649" t="str">
            <v/>
          </cell>
        </row>
        <row r="1650">
          <cell r="A1650" t="str">
            <v/>
          </cell>
        </row>
        <row r="1651">
          <cell r="A1651" t="str">
            <v/>
          </cell>
        </row>
        <row r="1652">
          <cell r="A1652" t="str">
            <v/>
          </cell>
        </row>
        <row r="1653">
          <cell r="A1653" t="str">
            <v/>
          </cell>
        </row>
        <row r="1654">
          <cell r="A1654" t="str">
            <v/>
          </cell>
        </row>
        <row r="1655">
          <cell r="A1655" t="str">
            <v/>
          </cell>
        </row>
        <row r="1656">
          <cell r="A1656" t="str">
            <v/>
          </cell>
        </row>
        <row r="1657">
          <cell r="A1657" t="str">
            <v/>
          </cell>
        </row>
        <row r="1658">
          <cell r="A1658" t="str">
            <v/>
          </cell>
        </row>
        <row r="1659">
          <cell r="A1659" t="str">
            <v/>
          </cell>
        </row>
        <row r="1660">
          <cell r="A1660" t="str">
            <v/>
          </cell>
        </row>
        <row r="1661">
          <cell r="A1661" t="str">
            <v/>
          </cell>
        </row>
        <row r="1662">
          <cell r="A1662" t="str">
            <v/>
          </cell>
        </row>
        <row r="1663">
          <cell r="A1663" t="str">
            <v/>
          </cell>
        </row>
        <row r="1664">
          <cell r="A1664" t="str">
            <v/>
          </cell>
        </row>
        <row r="1665">
          <cell r="A1665" t="str">
            <v/>
          </cell>
        </row>
        <row r="1666">
          <cell r="A1666" t="str">
            <v/>
          </cell>
        </row>
        <row r="1667">
          <cell r="A1667" t="str">
            <v/>
          </cell>
        </row>
        <row r="1668">
          <cell r="A1668" t="str">
            <v/>
          </cell>
        </row>
        <row r="1669">
          <cell r="A1669" t="str">
            <v/>
          </cell>
        </row>
        <row r="1670">
          <cell r="A1670" t="str">
            <v/>
          </cell>
        </row>
        <row r="1671">
          <cell r="A1671" t="str">
            <v/>
          </cell>
        </row>
        <row r="1672">
          <cell r="A1672" t="str">
            <v/>
          </cell>
        </row>
        <row r="1673">
          <cell r="A1673" t="str">
            <v/>
          </cell>
        </row>
        <row r="1674">
          <cell r="A1674" t="str">
            <v/>
          </cell>
        </row>
        <row r="1675">
          <cell r="A1675" t="str">
            <v/>
          </cell>
        </row>
        <row r="1676">
          <cell r="A1676" t="str">
            <v/>
          </cell>
        </row>
        <row r="1677">
          <cell r="A1677" t="str">
            <v/>
          </cell>
        </row>
        <row r="1678">
          <cell r="A1678" t="str">
            <v/>
          </cell>
        </row>
        <row r="1679">
          <cell r="A1679" t="str">
            <v/>
          </cell>
        </row>
        <row r="1680">
          <cell r="A1680" t="str">
            <v/>
          </cell>
        </row>
        <row r="1681">
          <cell r="A1681" t="str">
            <v/>
          </cell>
        </row>
        <row r="1682">
          <cell r="A1682" t="str">
            <v/>
          </cell>
        </row>
        <row r="1683">
          <cell r="A1683" t="str">
            <v/>
          </cell>
        </row>
        <row r="1684">
          <cell r="A1684" t="str">
            <v/>
          </cell>
        </row>
        <row r="1685">
          <cell r="A1685" t="str">
            <v/>
          </cell>
        </row>
        <row r="1686">
          <cell r="A1686" t="str">
            <v/>
          </cell>
        </row>
        <row r="1687">
          <cell r="A1687" t="str">
            <v/>
          </cell>
        </row>
        <row r="1688">
          <cell r="A1688" t="str">
            <v/>
          </cell>
        </row>
        <row r="1689">
          <cell r="A1689" t="str">
            <v/>
          </cell>
        </row>
        <row r="1690">
          <cell r="A1690" t="str">
            <v/>
          </cell>
        </row>
        <row r="1691">
          <cell r="A1691" t="str">
            <v/>
          </cell>
        </row>
        <row r="1692">
          <cell r="A1692" t="str">
            <v/>
          </cell>
        </row>
        <row r="1693">
          <cell r="A1693" t="str">
            <v/>
          </cell>
        </row>
        <row r="1694">
          <cell r="A1694" t="str">
            <v/>
          </cell>
        </row>
        <row r="1695">
          <cell r="A1695" t="str">
            <v/>
          </cell>
        </row>
        <row r="1696">
          <cell r="A1696" t="str">
            <v/>
          </cell>
        </row>
        <row r="1697">
          <cell r="A1697" t="str">
            <v/>
          </cell>
        </row>
        <row r="1698">
          <cell r="A1698" t="str">
            <v/>
          </cell>
        </row>
        <row r="1699">
          <cell r="A1699" t="str">
            <v/>
          </cell>
        </row>
        <row r="1700">
          <cell r="A1700" t="str">
            <v/>
          </cell>
        </row>
        <row r="1701">
          <cell r="A1701" t="str">
            <v/>
          </cell>
        </row>
        <row r="1702">
          <cell r="A1702" t="str">
            <v/>
          </cell>
        </row>
        <row r="1703">
          <cell r="A1703" t="str">
            <v/>
          </cell>
        </row>
        <row r="1704">
          <cell r="A1704" t="str">
            <v/>
          </cell>
        </row>
        <row r="1705">
          <cell r="A1705" t="str">
            <v/>
          </cell>
        </row>
        <row r="1706">
          <cell r="A1706" t="str">
            <v/>
          </cell>
        </row>
        <row r="1707">
          <cell r="A1707" t="str">
            <v/>
          </cell>
        </row>
        <row r="1708">
          <cell r="A1708" t="str">
            <v/>
          </cell>
        </row>
        <row r="1709">
          <cell r="A1709" t="str">
            <v/>
          </cell>
        </row>
        <row r="1710">
          <cell r="A1710" t="str">
            <v/>
          </cell>
        </row>
        <row r="1711">
          <cell r="A1711" t="str">
            <v/>
          </cell>
        </row>
        <row r="1712">
          <cell r="A1712" t="str">
            <v/>
          </cell>
        </row>
        <row r="1713">
          <cell r="A1713" t="str">
            <v/>
          </cell>
        </row>
        <row r="1714">
          <cell r="A1714" t="str">
            <v/>
          </cell>
        </row>
        <row r="1715">
          <cell r="A1715" t="str">
            <v/>
          </cell>
        </row>
        <row r="1716">
          <cell r="A1716" t="str">
            <v/>
          </cell>
        </row>
        <row r="1717">
          <cell r="A1717" t="str">
            <v/>
          </cell>
        </row>
        <row r="1718">
          <cell r="A1718" t="str">
            <v/>
          </cell>
        </row>
        <row r="1719">
          <cell r="A1719" t="str">
            <v/>
          </cell>
        </row>
        <row r="1720">
          <cell r="A1720" t="str">
            <v/>
          </cell>
        </row>
        <row r="1721">
          <cell r="A1721" t="str">
            <v/>
          </cell>
        </row>
        <row r="1722">
          <cell r="A1722" t="str">
            <v/>
          </cell>
        </row>
        <row r="1723">
          <cell r="A1723" t="str">
            <v/>
          </cell>
        </row>
        <row r="1724">
          <cell r="A1724" t="str">
            <v/>
          </cell>
        </row>
        <row r="1725">
          <cell r="A1725" t="str">
            <v/>
          </cell>
        </row>
        <row r="1726">
          <cell r="A1726" t="str">
            <v/>
          </cell>
        </row>
        <row r="1727">
          <cell r="A1727" t="str">
            <v/>
          </cell>
        </row>
        <row r="1728">
          <cell r="A1728" t="str">
            <v/>
          </cell>
        </row>
        <row r="1729">
          <cell r="A1729" t="str">
            <v/>
          </cell>
        </row>
        <row r="1730">
          <cell r="A1730" t="str">
            <v/>
          </cell>
        </row>
        <row r="1731">
          <cell r="A1731" t="str">
            <v/>
          </cell>
        </row>
        <row r="1732">
          <cell r="A1732" t="str">
            <v/>
          </cell>
        </row>
        <row r="1733">
          <cell r="A1733" t="str">
            <v/>
          </cell>
        </row>
        <row r="1734">
          <cell r="A1734" t="str">
            <v/>
          </cell>
        </row>
        <row r="1735">
          <cell r="A1735" t="str">
            <v/>
          </cell>
        </row>
        <row r="1736">
          <cell r="A1736" t="str">
            <v/>
          </cell>
        </row>
        <row r="1737">
          <cell r="A1737" t="str">
            <v/>
          </cell>
        </row>
        <row r="1738">
          <cell r="A1738" t="str">
            <v/>
          </cell>
        </row>
        <row r="1739">
          <cell r="A1739" t="str">
            <v/>
          </cell>
        </row>
        <row r="1740">
          <cell r="A1740" t="str">
            <v/>
          </cell>
        </row>
        <row r="1741">
          <cell r="A1741" t="str">
            <v/>
          </cell>
        </row>
        <row r="1742">
          <cell r="A1742" t="str">
            <v/>
          </cell>
        </row>
        <row r="1743">
          <cell r="A1743" t="str">
            <v/>
          </cell>
        </row>
        <row r="1744">
          <cell r="A1744" t="str">
            <v/>
          </cell>
        </row>
        <row r="1745">
          <cell r="A1745" t="str">
            <v/>
          </cell>
        </row>
        <row r="1746">
          <cell r="A1746" t="str">
            <v/>
          </cell>
        </row>
        <row r="1747">
          <cell r="A1747" t="str">
            <v/>
          </cell>
        </row>
        <row r="1748">
          <cell r="A1748" t="str">
            <v/>
          </cell>
        </row>
        <row r="1749">
          <cell r="A1749" t="str">
            <v/>
          </cell>
        </row>
        <row r="1750">
          <cell r="A1750" t="str">
            <v/>
          </cell>
        </row>
        <row r="1751">
          <cell r="A1751" t="str">
            <v/>
          </cell>
        </row>
        <row r="1752">
          <cell r="A1752" t="str">
            <v/>
          </cell>
        </row>
        <row r="1753">
          <cell r="A1753" t="str">
            <v/>
          </cell>
        </row>
        <row r="1754">
          <cell r="A1754" t="str">
            <v/>
          </cell>
        </row>
        <row r="1755">
          <cell r="A1755" t="str">
            <v/>
          </cell>
        </row>
        <row r="1756">
          <cell r="A1756" t="str">
            <v/>
          </cell>
        </row>
        <row r="1757">
          <cell r="A1757" t="str">
            <v/>
          </cell>
        </row>
        <row r="1758">
          <cell r="A1758" t="str">
            <v/>
          </cell>
        </row>
        <row r="1759">
          <cell r="A1759" t="str">
            <v/>
          </cell>
        </row>
        <row r="1760">
          <cell r="A1760" t="str">
            <v/>
          </cell>
        </row>
        <row r="1761">
          <cell r="A1761" t="str">
            <v/>
          </cell>
        </row>
        <row r="1762">
          <cell r="A1762" t="str">
            <v/>
          </cell>
        </row>
        <row r="1763">
          <cell r="A1763" t="str">
            <v/>
          </cell>
        </row>
        <row r="1764">
          <cell r="A1764" t="str">
            <v/>
          </cell>
        </row>
        <row r="1765">
          <cell r="A1765" t="str">
            <v/>
          </cell>
        </row>
        <row r="1766">
          <cell r="A1766" t="str">
            <v/>
          </cell>
        </row>
        <row r="1767">
          <cell r="A1767" t="str">
            <v/>
          </cell>
        </row>
        <row r="1768">
          <cell r="A1768" t="str">
            <v/>
          </cell>
        </row>
        <row r="1769">
          <cell r="A1769" t="str">
            <v/>
          </cell>
        </row>
        <row r="1770">
          <cell r="A1770" t="str">
            <v/>
          </cell>
        </row>
        <row r="1771">
          <cell r="A1771" t="str">
            <v/>
          </cell>
        </row>
        <row r="1772">
          <cell r="A1772" t="str">
            <v/>
          </cell>
        </row>
        <row r="1773">
          <cell r="A1773" t="str">
            <v/>
          </cell>
        </row>
        <row r="1774">
          <cell r="A1774" t="str">
            <v/>
          </cell>
        </row>
        <row r="1775">
          <cell r="A1775" t="str">
            <v/>
          </cell>
        </row>
        <row r="1776">
          <cell r="A1776" t="str">
            <v/>
          </cell>
        </row>
        <row r="1777">
          <cell r="A1777" t="str">
            <v/>
          </cell>
        </row>
        <row r="1778">
          <cell r="A1778" t="str">
            <v/>
          </cell>
        </row>
        <row r="1779">
          <cell r="A1779" t="str">
            <v/>
          </cell>
        </row>
        <row r="1780">
          <cell r="A1780" t="str">
            <v/>
          </cell>
        </row>
        <row r="1781">
          <cell r="A1781" t="str">
            <v/>
          </cell>
        </row>
        <row r="1782">
          <cell r="A1782" t="str">
            <v/>
          </cell>
        </row>
        <row r="1783">
          <cell r="A1783" t="str">
            <v/>
          </cell>
        </row>
        <row r="1784">
          <cell r="A1784" t="str">
            <v/>
          </cell>
        </row>
        <row r="1785">
          <cell r="A1785" t="str">
            <v/>
          </cell>
        </row>
        <row r="1786">
          <cell r="A1786" t="str">
            <v/>
          </cell>
        </row>
        <row r="1787">
          <cell r="A1787" t="str">
            <v/>
          </cell>
        </row>
        <row r="1788">
          <cell r="A1788" t="str">
            <v/>
          </cell>
        </row>
        <row r="1789">
          <cell r="A1789" t="str">
            <v/>
          </cell>
        </row>
        <row r="1790">
          <cell r="A1790" t="str">
            <v/>
          </cell>
        </row>
        <row r="1791">
          <cell r="A1791" t="str">
            <v/>
          </cell>
        </row>
        <row r="1792">
          <cell r="A1792" t="str">
            <v/>
          </cell>
        </row>
        <row r="1793">
          <cell r="A1793" t="str">
            <v/>
          </cell>
        </row>
        <row r="1794">
          <cell r="A1794" t="str">
            <v/>
          </cell>
        </row>
        <row r="1795">
          <cell r="A1795" t="str">
            <v/>
          </cell>
        </row>
        <row r="1796">
          <cell r="A1796" t="str">
            <v/>
          </cell>
        </row>
        <row r="1797">
          <cell r="A1797" t="str">
            <v/>
          </cell>
        </row>
        <row r="1798">
          <cell r="A1798" t="str">
            <v/>
          </cell>
        </row>
        <row r="1799">
          <cell r="A1799" t="str">
            <v/>
          </cell>
        </row>
        <row r="1800">
          <cell r="A1800" t="str">
            <v/>
          </cell>
        </row>
        <row r="1801">
          <cell r="A1801" t="str">
            <v/>
          </cell>
        </row>
        <row r="1802">
          <cell r="A1802" t="str">
            <v/>
          </cell>
        </row>
        <row r="1803">
          <cell r="A1803" t="str">
            <v/>
          </cell>
        </row>
        <row r="1804">
          <cell r="A1804" t="str">
            <v/>
          </cell>
        </row>
        <row r="1805">
          <cell r="A1805" t="str">
            <v/>
          </cell>
        </row>
        <row r="1806">
          <cell r="A1806" t="str">
            <v/>
          </cell>
        </row>
        <row r="1807">
          <cell r="A1807" t="str">
            <v/>
          </cell>
        </row>
        <row r="1808">
          <cell r="A1808" t="str">
            <v/>
          </cell>
        </row>
        <row r="1809">
          <cell r="A1809" t="str">
            <v/>
          </cell>
        </row>
        <row r="1810">
          <cell r="A1810" t="str">
            <v/>
          </cell>
        </row>
        <row r="1811">
          <cell r="A1811" t="str">
            <v/>
          </cell>
        </row>
        <row r="1812">
          <cell r="A1812" t="str">
            <v/>
          </cell>
        </row>
        <row r="1813">
          <cell r="A1813" t="str">
            <v/>
          </cell>
        </row>
        <row r="1814">
          <cell r="A1814" t="str">
            <v/>
          </cell>
        </row>
        <row r="1815">
          <cell r="A1815" t="str">
            <v/>
          </cell>
        </row>
        <row r="1816">
          <cell r="A1816" t="str">
            <v/>
          </cell>
        </row>
        <row r="1817">
          <cell r="A1817" t="str">
            <v/>
          </cell>
        </row>
        <row r="1818">
          <cell r="A1818" t="str">
            <v/>
          </cell>
        </row>
        <row r="1819">
          <cell r="A1819" t="str">
            <v/>
          </cell>
        </row>
        <row r="1820">
          <cell r="A1820" t="str">
            <v/>
          </cell>
        </row>
        <row r="1821">
          <cell r="A1821" t="str">
            <v/>
          </cell>
        </row>
        <row r="1822">
          <cell r="A1822" t="str">
            <v/>
          </cell>
        </row>
        <row r="1823">
          <cell r="A1823" t="str">
            <v/>
          </cell>
        </row>
        <row r="1824">
          <cell r="A1824" t="str">
            <v/>
          </cell>
        </row>
        <row r="1825">
          <cell r="A1825" t="str">
            <v/>
          </cell>
        </row>
        <row r="1826">
          <cell r="A1826" t="str">
            <v/>
          </cell>
        </row>
        <row r="1827">
          <cell r="A1827" t="str">
            <v/>
          </cell>
        </row>
        <row r="1828">
          <cell r="A1828" t="str">
            <v/>
          </cell>
        </row>
        <row r="1829">
          <cell r="A1829" t="str">
            <v/>
          </cell>
        </row>
        <row r="1830">
          <cell r="A1830" t="str">
            <v/>
          </cell>
        </row>
        <row r="1831">
          <cell r="A1831" t="str">
            <v/>
          </cell>
        </row>
        <row r="1832">
          <cell r="A1832" t="str">
            <v/>
          </cell>
        </row>
        <row r="1833">
          <cell r="A1833" t="str">
            <v/>
          </cell>
        </row>
        <row r="1834">
          <cell r="A1834" t="str">
            <v/>
          </cell>
        </row>
        <row r="1835">
          <cell r="A1835" t="str">
            <v/>
          </cell>
        </row>
        <row r="1836">
          <cell r="A1836" t="str">
            <v/>
          </cell>
        </row>
        <row r="1837">
          <cell r="A1837" t="str">
            <v/>
          </cell>
        </row>
        <row r="1838">
          <cell r="A1838" t="str">
            <v/>
          </cell>
        </row>
        <row r="1839">
          <cell r="A1839" t="str">
            <v/>
          </cell>
        </row>
        <row r="1840">
          <cell r="A1840" t="str">
            <v/>
          </cell>
        </row>
        <row r="1841">
          <cell r="A1841" t="str">
            <v/>
          </cell>
        </row>
        <row r="1842">
          <cell r="A1842" t="str">
            <v/>
          </cell>
        </row>
        <row r="1843">
          <cell r="A1843" t="str">
            <v/>
          </cell>
        </row>
        <row r="1844">
          <cell r="A1844" t="str">
            <v/>
          </cell>
        </row>
        <row r="1845">
          <cell r="A1845" t="str">
            <v/>
          </cell>
        </row>
        <row r="1846">
          <cell r="A1846" t="str">
            <v/>
          </cell>
        </row>
        <row r="1847">
          <cell r="A1847" t="str">
            <v/>
          </cell>
        </row>
        <row r="1848">
          <cell r="A1848" t="str">
            <v/>
          </cell>
        </row>
        <row r="1849">
          <cell r="A1849" t="str">
            <v/>
          </cell>
        </row>
        <row r="1850">
          <cell r="A1850" t="str">
            <v/>
          </cell>
        </row>
        <row r="1851">
          <cell r="A1851" t="str">
            <v/>
          </cell>
        </row>
        <row r="1852">
          <cell r="A1852" t="str">
            <v/>
          </cell>
        </row>
        <row r="1853">
          <cell r="A1853" t="str">
            <v/>
          </cell>
        </row>
        <row r="1854">
          <cell r="A1854" t="str">
            <v/>
          </cell>
        </row>
        <row r="1855">
          <cell r="A1855" t="str">
            <v/>
          </cell>
        </row>
        <row r="1856">
          <cell r="A1856" t="str">
            <v/>
          </cell>
        </row>
        <row r="1857">
          <cell r="A1857" t="str">
            <v/>
          </cell>
        </row>
        <row r="1858">
          <cell r="A1858" t="str">
            <v/>
          </cell>
        </row>
        <row r="1859">
          <cell r="A1859" t="str">
            <v/>
          </cell>
        </row>
        <row r="1860">
          <cell r="A1860" t="str">
            <v/>
          </cell>
        </row>
        <row r="1861">
          <cell r="A1861" t="str">
            <v/>
          </cell>
        </row>
        <row r="1862">
          <cell r="A1862" t="str">
            <v/>
          </cell>
        </row>
        <row r="1863">
          <cell r="A1863" t="str">
            <v/>
          </cell>
        </row>
        <row r="1864">
          <cell r="A1864" t="str">
            <v/>
          </cell>
        </row>
        <row r="1865">
          <cell r="A1865" t="str">
            <v/>
          </cell>
        </row>
        <row r="1866">
          <cell r="A1866" t="str">
            <v/>
          </cell>
        </row>
        <row r="1867">
          <cell r="A1867" t="str">
            <v/>
          </cell>
        </row>
        <row r="1868">
          <cell r="A1868" t="str">
            <v/>
          </cell>
        </row>
        <row r="1869">
          <cell r="A1869" t="str">
            <v/>
          </cell>
        </row>
        <row r="1870">
          <cell r="A1870" t="str">
            <v/>
          </cell>
        </row>
        <row r="1871">
          <cell r="A1871" t="str">
            <v/>
          </cell>
        </row>
        <row r="1872">
          <cell r="A1872" t="str">
            <v/>
          </cell>
        </row>
        <row r="1873">
          <cell r="A1873" t="str">
            <v/>
          </cell>
        </row>
        <row r="1874">
          <cell r="A1874" t="str">
            <v/>
          </cell>
        </row>
        <row r="1875">
          <cell r="A1875" t="str">
            <v/>
          </cell>
        </row>
        <row r="1876">
          <cell r="A1876" t="str">
            <v/>
          </cell>
        </row>
        <row r="1877">
          <cell r="A1877" t="str">
            <v/>
          </cell>
        </row>
        <row r="1878">
          <cell r="A1878" t="str">
            <v/>
          </cell>
        </row>
        <row r="1879">
          <cell r="A1879" t="str">
            <v/>
          </cell>
        </row>
        <row r="1880">
          <cell r="A1880" t="str">
            <v/>
          </cell>
        </row>
        <row r="1881">
          <cell r="A1881" t="str">
            <v/>
          </cell>
        </row>
        <row r="1882">
          <cell r="A1882" t="str">
            <v/>
          </cell>
        </row>
        <row r="1883">
          <cell r="A1883" t="str">
            <v/>
          </cell>
        </row>
        <row r="1884">
          <cell r="A1884" t="str">
            <v/>
          </cell>
        </row>
        <row r="1885">
          <cell r="A1885" t="str">
            <v/>
          </cell>
        </row>
        <row r="1886">
          <cell r="A1886" t="str">
            <v/>
          </cell>
        </row>
        <row r="1887">
          <cell r="A1887" t="str">
            <v/>
          </cell>
        </row>
        <row r="1888">
          <cell r="A1888" t="str">
            <v/>
          </cell>
        </row>
        <row r="1889">
          <cell r="A1889" t="str">
            <v/>
          </cell>
        </row>
        <row r="1890">
          <cell r="A1890" t="str">
            <v/>
          </cell>
        </row>
        <row r="1891">
          <cell r="A1891" t="str">
            <v/>
          </cell>
        </row>
        <row r="1892">
          <cell r="A1892" t="str">
            <v/>
          </cell>
        </row>
        <row r="1893">
          <cell r="A1893" t="str">
            <v/>
          </cell>
        </row>
        <row r="1894">
          <cell r="A1894" t="str">
            <v/>
          </cell>
        </row>
        <row r="1895">
          <cell r="A1895" t="str">
            <v/>
          </cell>
        </row>
        <row r="1896">
          <cell r="A1896" t="str">
            <v/>
          </cell>
        </row>
        <row r="1897">
          <cell r="A1897" t="str">
            <v/>
          </cell>
        </row>
        <row r="1898">
          <cell r="A1898" t="str">
            <v/>
          </cell>
        </row>
        <row r="1899">
          <cell r="A1899" t="str">
            <v/>
          </cell>
        </row>
        <row r="1900">
          <cell r="A1900" t="str">
            <v/>
          </cell>
        </row>
        <row r="1901">
          <cell r="A1901" t="str">
            <v/>
          </cell>
        </row>
        <row r="1902">
          <cell r="A1902" t="str">
            <v/>
          </cell>
        </row>
        <row r="1903">
          <cell r="A1903" t="str">
            <v/>
          </cell>
        </row>
        <row r="1904">
          <cell r="A1904" t="str">
            <v/>
          </cell>
        </row>
        <row r="1905">
          <cell r="A1905" t="str">
            <v/>
          </cell>
        </row>
        <row r="1906">
          <cell r="A1906" t="str">
            <v/>
          </cell>
        </row>
        <row r="1907">
          <cell r="A1907" t="str">
            <v/>
          </cell>
        </row>
        <row r="1908">
          <cell r="A1908" t="str">
            <v/>
          </cell>
        </row>
        <row r="1909">
          <cell r="A1909" t="str">
            <v/>
          </cell>
        </row>
        <row r="1910">
          <cell r="A1910" t="str">
            <v/>
          </cell>
        </row>
        <row r="1911">
          <cell r="A1911" t="str">
            <v/>
          </cell>
        </row>
        <row r="1912">
          <cell r="A1912" t="str">
            <v/>
          </cell>
        </row>
        <row r="1913">
          <cell r="A1913" t="str">
            <v/>
          </cell>
        </row>
        <row r="1914">
          <cell r="A1914" t="str">
            <v/>
          </cell>
        </row>
        <row r="1915">
          <cell r="A1915" t="str">
            <v/>
          </cell>
        </row>
        <row r="1916">
          <cell r="A1916" t="str">
            <v/>
          </cell>
        </row>
        <row r="1917">
          <cell r="A1917" t="str">
            <v/>
          </cell>
        </row>
        <row r="1918">
          <cell r="A1918" t="str">
            <v/>
          </cell>
        </row>
        <row r="1919">
          <cell r="A1919" t="str">
            <v/>
          </cell>
        </row>
        <row r="1920">
          <cell r="A1920" t="str">
            <v/>
          </cell>
        </row>
        <row r="1921">
          <cell r="A1921" t="str">
            <v/>
          </cell>
        </row>
        <row r="1922">
          <cell r="A1922" t="str">
            <v/>
          </cell>
        </row>
        <row r="1923">
          <cell r="A1923" t="str">
            <v/>
          </cell>
        </row>
        <row r="1924">
          <cell r="A1924" t="str">
            <v/>
          </cell>
        </row>
        <row r="1925">
          <cell r="A1925" t="str">
            <v/>
          </cell>
        </row>
        <row r="1926">
          <cell r="A1926" t="str">
            <v/>
          </cell>
        </row>
        <row r="1927">
          <cell r="A1927" t="str">
            <v/>
          </cell>
        </row>
        <row r="1928">
          <cell r="A1928" t="str">
            <v/>
          </cell>
        </row>
        <row r="1929">
          <cell r="A1929" t="str">
            <v/>
          </cell>
        </row>
        <row r="1930">
          <cell r="A1930" t="str">
            <v/>
          </cell>
        </row>
        <row r="1931">
          <cell r="A1931" t="str">
            <v/>
          </cell>
        </row>
        <row r="1932">
          <cell r="A1932" t="str">
            <v/>
          </cell>
        </row>
        <row r="1933">
          <cell r="A1933" t="str">
            <v/>
          </cell>
        </row>
        <row r="1934">
          <cell r="A1934" t="str">
            <v/>
          </cell>
        </row>
        <row r="1935">
          <cell r="A1935" t="str">
            <v/>
          </cell>
        </row>
        <row r="1936">
          <cell r="A1936" t="str">
            <v/>
          </cell>
        </row>
        <row r="1937">
          <cell r="A1937" t="str">
            <v/>
          </cell>
        </row>
        <row r="1938">
          <cell r="A1938" t="str">
            <v/>
          </cell>
        </row>
        <row r="1939">
          <cell r="A1939" t="str">
            <v/>
          </cell>
        </row>
        <row r="1940">
          <cell r="A1940" t="str">
            <v/>
          </cell>
        </row>
        <row r="1941">
          <cell r="A1941" t="str">
            <v/>
          </cell>
        </row>
        <row r="1942">
          <cell r="A1942" t="str">
            <v/>
          </cell>
        </row>
        <row r="1943">
          <cell r="A1943" t="str">
            <v/>
          </cell>
        </row>
        <row r="1944">
          <cell r="A1944" t="str">
            <v/>
          </cell>
        </row>
        <row r="1945">
          <cell r="A1945" t="str">
            <v/>
          </cell>
        </row>
        <row r="1946">
          <cell r="A1946" t="str">
            <v/>
          </cell>
        </row>
        <row r="1947">
          <cell r="A1947" t="str">
            <v/>
          </cell>
        </row>
        <row r="1948">
          <cell r="A1948" t="str">
            <v/>
          </cell>
        </row>
        <row r="1949">
          <cell r="A1949" t="str">
            <v/>
          </cell>
        </row>
        <row r="1950">
          <cell r="A1950" t="str">
            <v/>
          </cell>
        </row>
        <row r="1951">
          <cell r="A1951" t="str">
            <v/>
          </cell>
        </row>
        <row r="1952">
          <cell r="A1952" t="str">
            <v/>
          </cell>
        </row>
        <row r="1953">
          <cell r="A1953" t="str">
            <v/>
          </cell>
        </row>
        <row r="1954">
          <cell r="A1954" t="str">
            <v/>
          </cell>
        </row>
        <row r="1955">
          <cell r="A1955" t="str">
            <v/>
          </cell>
        </row>
        <row r="1956">
          <cell r="A1956" t="str">
            <v/>
          </cell>
        </row>
        <row r="1957">
          <cell r="A1957" t="str">
            <v/>
          </cell>
        </row>
        <row r="1958">
          <cell r="A1958" t="str">
            <v/>
          </cell>
        </row>
        <row r="1959">
          <cell r="A1959" t="str">
            <v/>
          </cell>
        </row>
        <row r="1960">
          <cell r="A1960" t="str">
            <v/>
          </cell>
        </row>
        <row r="1961">
          <cell r="A1961" t="str">
            <v/>
          </cell>
        </row>
        <row r="1962">
          <cell r="A1962" t="str">
            <v/>
          </cell>
        </row>
        <row r="1963">
          <cell r="A1963" t="str">
            <v/>
          </cell>
        </row>
        <row r="1964">
          <cell r="A1964" t="str">
            <v/>
          </cell>
        </row>
        <row r="1965">
          <cell r="A1965" t="str">
            <v/>
          </cell>
        </row>
        <row r="1966">
          <cell r="A1966" t="str">
            <v/>
          </cell>
        </row>
        <row r="1967">
          <cell r="A1967" t="str">
            <v/>
          </cell>
        </row>
        <row r="1968">
          <cell r="A1968" t="str">
            <v/>
          </cell>
        </row>
        <row r="1969">
          <cell r="A1969" t="str">
            <v/>
          </cell>
        </row>
        <row r="1970">
          <cell r="A1970" t="str">
            <v/>
          </cell>
        </row>
        <row r="1971">
          <cell r="A1971" t="str">
            <v/>
          </cell>
        </row>
        <row r="1972">
          <cell r="A1972" t="str">
            <v/>
          </cell>
        </row>
        <row r="1973">
          <cell r="A1973" t="str">
            <v/>
          </cell>
        </row>
        <row r="1974">
          <cell r="A1974" t="str">
            <v/>
          </cell>
        </row>
        <row r="1975">
          <cell r="A1975" t="str">
            <v/>
          </cell>
        </row>
        <row r="1976">
          <cell r="A1976" t="str">
            <v/>
          </cell>
        </row>
        <row r="1977">
          <cell r="A1977" t="str">
            <v/>
          </cell>
        </row>
        <row r="1978">
          <cell r="A1978" t="str">
            <v/>
          </cell>
        </row>
        <row r="1979">
          <cell r="A1979" t="str">
            <v/>
          </cell>
        </row>
        <row r="1980">
          <cell r="A1980" t="str">
            <v/>
          </cell>
        </row>
        <row r="1981">
          <cell r="A1981" t="str">
            <v/>
          </cell>
        </row>
        <row r="1982">
          <cell r="A1982" t="str">
            <v/>
          </cell>
        </row>
        <row r="1983">
          <cell r="A1983" t="str">
            <v/>
          </cell>
        </row>
        <row r="1984">
          <cell r="A1984" t="str">
            <v/>
          </cell>
        </row>
        <row r="1985">
          <cell r="A1985" t="str">
            <v/>
          </cell>
        </row>
        <row r="1986">
          <cell r="A1986" t="str">
            <v/>
          </cell>
        </row>
        <row r="1987">
          <cell r="A1987" t="str">
            <v/>
          </cell>
        </row>
        <row r="1988">
          <cell r="A1988" t="str">
            <v/>
          </cell>
        </row>
        <row r="1989">
          <cell r="A1989" t="str">
            <v/>
          </cell>
        </row>
        <row r="1990">
          <cell r="A1990" t="str">
            <v/>
          </cell>
        </row>
        <row r="1991">
          <cell r="A1991" t="str">
            <v/>
          </cell>
        </row>
        <row r="1992">
          <cell r="A1992" t="str">
            <v/>
          </cell>
        </row>
        <row r="1993">
          <cell r="A1993" t="str">
            <v/>
          </cell>
        </row>
        <row r="1994">
          <cell r="A1994" t="str">
            <v/>
          </cell>
        </row>
        <row r="1995">
          <cell r="A1995" t="str">
            <v/>
          </cell>
        </row>
        <row r="1996">
          <cell r="A1996" t="str">
            <v/>
          </cell>
        </row>
        <row r="1997">
          <cell r="A1997" t="str">
            <v/>
          </cell>
        </row>
        <row r="1998">
          <cell r="A1998" t="str">
            <v/>
          </cell>
        </row>
        <row r="1999">
          <cell r="A1999" t="str">
            <v/>
          </cell>
        </row>
        <row r="2000">
          <cell r="A2000" t="str">
            <v/>
          </cell>
        </row>
        <row r="2001">
          <cell r="A2001" t="str">
            <v/>
          </cell>
        </row>
        <row r="2002">
          <cell r="A2002" t="str">
            <v/>
          </cell>
        </row>
        <row r="2003">
          <cell r="A2003" t="str">
            <v/>
          </cell>
        </row>
        <row r="2004">
          <cell r="A2004" t="str">
            <v/>
          </cell>
        </row>
        <row r="2005">
          <cell r="A2005" t="str">
            <v/>
          </cell>
        </row>
        <row r="2006">
          <cell r="A2006" t="str">
            <v/>
          </cell>
        </row>
        <row r="2007">
          <cell r="A2007" t="str">
            <v/>
          </cell>
        </row>
        <row r="2008">
          <cell r="A2008" t="str">
            <v/>
          </cell>
        </row>
        <row r="2009">
          <cell r="A2009" t="str">
            <v/>
          </cell>
        </row>
        <row r="2010">
          <cell r="A2010" t="str">
            <v/>
          </cell>
        </row>
        <row r="2011">
          <cell r="A2011" t="str">
            <v/>
          </cell>
        </row>
        <row r="2012">
          <cell r="A2012" t="str">
            <v/>
          </cell>
        </row>
        <row r="2013">
          <cell r="A2013" t="str">
            <v/>
          </cell>
        </row>
        <row r="2014">
          <cell r="A2014" t="str">
            <v/>
          </cell>
        </row>
        <row r="2015">
          <cell r="A2015" t="str">
            <v/>
          </cell>
        </row>
        <row r="2016">
          <cell r="A2016" t="str">
            <v/>
          </cell>
        </row>
        <row r="2017">
          <cell r="A2017" t="str">
            <v/>
          </cell>
        </row>
        <row r="2018">
          <cell r="A2018" t="str">
            <v/>
          </cell>
        </row>
        <row r="2019">
          <cell r="A2019" t="str">
            <v/>
          </cell>
        </row>
        <row r="2020">
          <cell r="A2020" t="str">
            <v/>
          </cell>
        </row>
        <row r="2021">
          <cell r="A2021" t="str">
            <v/>
          </cell>
        </row>
        <row r="2022">
          <cell r="A2022" t="str">
            <v/>
          </cell>
        </row>
        <row r="2023">
          <cell r="A2023" t="str">
            <v/>
          </cell>
        </row>
        <row r="2024">
          <cell r="A2024" t="str">
            <v/>
          </cell>
        </row>
        <row r="2025">
          <cell r="A2025" t="str">
            <v/>
          </cell>
        </row>
        <row r="2026">
          <cell r="A2026" t="str">
            <v/>
          </cell>
        </row>
        <row r="2027">
          <cell r="A2027" t="str">
            <v/>
          </cell>
        </row>
        <row r="2028">
          <cell r="A2028" t="str">
            <v/>
          </cell>
        </row>
        <row r="2029">
          <cell r="A2029" t="str">
            <v/>
          </cell>
        </row>
        <row r="2030">
          <cell r="A2030" t="str">
            <v/>
          </cell>
        </row>
        <row r="2031">
          <cell r="A2031" t="str">
            <v/>
          </cell>
        </row>
        <row r="2032">
          <cell r="A2032" t="str">
            <v/>
          </cell>
        </row>
        <row r="2033">
          <cell r="A2033" t="str">
            <v/>
          </cell>
        </row>
        <row r="2034">
          <cell r="A2034" t="str">
            <v/>
          </cell>
        </row>
        <row r="2035">
          <cell r="A2035" t="str">
            <v/>
          </cell>
        </row>
        <row r="2036">
          <cell r="A2036" t="str">
            <v/>
          </cell>
        </row>
        <row r="2037">
          <cell r="A2037" t="str">
            <v/>
          </cell>
        </row>
        <row r="2038">
          <cell r="A2038" t="str">
            <v/>
          </cell>
        </row>
        <row r="2039">
          <cell r="A2039" t="str">
            <v/>
          </cell>
        </row>
        <row r="2040">
          <cell r="A2040" t="str">
            <v/>
          </cell>
        </row>
        <row r="2041">
          <cell r="A2041" t="str">
            <v/>
          </cell>
        </row>
        <row r="2042">
          <cell r="A2042" t="str">
            <v/>
          </cell>
        </row>
        <row r="2043">
          <cell r="A2043" t="str">
            <v/>
          </cell>
        </row>
        <row r="2044">
          <cell r="A2044" t="str">
            <v/>
          </cell>
        </row>
        <row r="2045">
          <cell r="A2045" t="str">
            <v/>
          </cell>
        </row>
        <row r="2046">
          <cell r="A2046" t="str">
            <v/>
          </cell>
        </row>
        <row r="2047">
          <cell r="A2047" t="str">
            <v/>
          </cell>
        </row>
        <row r="2048">
          <cell r="A2048" t="str">
            <v/>
          </cell>
        </row>
        <row r="2049">
          <cell r="A2049" t="str">
            <v/>
          </cell>
        </row>
        <row r="2050">
          <cell r="A2050" t="str">
            <v/>
          </cell>
        </row>
        <row r="2051">
          <cell r="A2051" t="str">
            <v/>
          </cell>
        </row>
        <row r="2052">
          <cell r="A2052" t="str">
            <v/>
          </cell>
        </row>
        <row r="2053">
          <cell r="A2053" t="str">
            <v/>
          </cell>
        </row>
        <row r="2054">
          <cell r="A2054" t="str">
            <v/>
          </cell>
        </row>
        <row r="2055">
          <cell r="A2055" t="str">
            <v/>
          </cell>
        </row>
        <row r="2056">
          <cell r="A2056" t="str">
            <v/>
          </cell>
        </row>
        <row r="2057">
          <cell r="A2057" t="str">
            <v/>
          </cell>
        </row>
        <row r="2058">
          <cell r="A2058" t="str">
            <v/>
          </cell>
        </row>
        <row r="2059">
          <cell r="A2059" t="str">
            <v/>
          </cell>
        </row>
        <row r="2060">
          <cell r="A2060" t="str">
            <v/>
          </cell>
        </row>
        <row r="2061">
          <cell r="A2061" t="str">
            <v/>
          </cell>
        </row>
        <row r="2062">
          <cell r="A2062" t="str">
            <v/>
          </cell>
        </row>
        <row r="2063">
          <cell r="A2063" t="str">
            <v/>
          </cell>
        </row>
        <row r="2064">
          <cell r="A2064" t="str">
            <v/>
          </cell>
        </row>
        <row r="2065">
          <cell r="A2065" t="str">
            <v/>
          </cell>
        </row>
        <row r="2066">
          <cell r="A2066" t="str">
            <v/>
          </cell>
        </row>
        <row r="2067">
          <cell r="A2067" t="str">
            <v/>
          </cell>
        </row>
        <row r="2068">
          <cell r="A2068" t="str">
            <v/>
          </cell>
        </row>
        <row r="2069">
          <cell r="A2069" t="str">
            <v/>
          </cell>
        </row>
        <row r="2070">
          <cell r="A2070" t="str">
            <v/>
          </cell>
        </row>
        <row r="2071">
          <cell r="A2071" t="str">
            <v/>
          </cell>
        </row>
        <row r="2072">
          <cell r="A2072" t="str">
            <v/>
          </cell>
        </row>
        <row r="2073">
          <cell r="A2073" t="str">
            <v/>
          </cell>
        </row>
        <row r="2074">
          <cell r="A2074" t="str">
            <v/>
          </cell>
        </row>
        <row r="2075">
          <cell r="A2075" t="str">
            <v/>
          </cell>
        </row>
        <row r="2076">
          <cell r="A2076" t="str">
            <v/>
          </cell>
        </row>
        <row r="2077">
          <cell r="A2077" t="str">
            <v/>
          </cell>
        </row>
        <row r="2078">
          <cell r="A2078" t="str">
            <v/>
          </cell>
        </row>
        <row r="2079">
          <cell r="A2079" t="str">
            <v/>
          </cell>
        </row>
        <row r="2080">
          <cell r="A2080" t="str">
            <v/>
          </cell>
        </row>
        <row r="2081">
          <cell r="A2081" t="str">
            <v/>
          </cell>
        </row>
        <row r="2082">
          <cell r="A2082" t="str">
            <v/>
          </cell>
        </row>
        <row r="2083">
          <cell r="A2083" t="str">
            <v/>
          </cell>
        </row>
        <row r="2084">
          <cell r="A2084" t="str">
            <v/>
          </cell>
        </row>
        <row r="2085">
          <cell r="A2085" t="str">
            <v/>
          </cell>
        </row>
        <row r="2086">
          <cell r="A2086" t="str">
            <v/>
          </cell>
        </row>
        <row r="2087">
          <cell r="A2087" t="str">
            <v/>
          </cell>
        </row>
        <row r="2088">
          <cell r="A2088" t="str">
            <v/>
          </cell>
        </row>
        <row r="2089">
          <cell r="A2089" t="str">
            <v/>
          </cell>
        </row>
        <row r="2090">
          <cell r="A2090" t="str">
            <v/>
          </cell>
        </row>
        <row r="2091">
          <cell r="A2091" t="str">
            <v/>
          </cell>
        </row>
        <row r="2092">
          <cell r="A2092" t="str">
            <v/>
          </cell>
        </row>
        <row r="2093">
          <cell r="A2093" t="str">
            <v/>
          </cell>
        </row>
        <row r="2094">
          <cell r="A2094" t="str">
            <v/>
          </cell>
        </row>
        <row r="2095">
          <cell r="A2095" t="str">
            <v/>
          </cell>
        </row>
        <row r="2096">
          <cell r="A2096" t="str">
            <v/>
          </cell>
        </row>
        <row r="2097">
          <cell r="A2097" t="str">
            <v/>
          </cell>
        </row>
        <row r="2098">
          <cell r="A2098" t="str">
            <v/>
          </cell>
        </row>
        <row r="2099">
          <cell r="A2099" t="str">
            <v/>
          </cell>
        </row>
        <row r="2100">
          <cell r="A2100" t="str">
            <v/>
          </cell>
        </row>
        <row r="2101">
          <cell r="A2101" t="str">
            <v/>
          </cell>
        </row>
        <row r="2102">
          <cell r="A2102" t="str">
            <v/>
          </cell>
        </row>
        <row r="2103">
          <cell r="A2103" t="str">
            <v/>
          </cell>
        </row>
        <row r="2104">
          <cell r="A2104" t="str">
            <v/>
          </cell>
        </row>
        <row r="2105">
          <cell r="A2105" t="str">
            <v/>
          </cell>
        </row>
        <row r="2106">
          <cell r="A2106" t="str">
            <v/>
          </cell>
        </row>
        <row r="2107">
          <cell r="A2107" t="str">
            <v/>
          </cell>
        </row>
        <row r="2108">
          <cell r="A2108" t="str">
            <v/>
          </cell>
        </row>
        <row r="2109">
          <cell r="A2109" t="str">
            <v/>
          </cell>
        </row>
        <row r="2110">
          <cell r="A2110" t="str">
            <v/>
          </cell>
        </row>
        <row r="2111">
          <cell r="A2111" t="str">
            <v/>
          </cell>
        </row>
        <row r="2112">
          <cell r="A2112" t="str">
            <v/>
          </cell>
        </row>
        <row r="2113">
          <cell r="A2113" t="str">
            <v/>
          </cell>
        </row>
        <row r="2114">
          <cell r="A2114" t="str">
            <v/>
          </cell>
        </row>
        <row r="2115">
          <cell r="A2115" t="str">
            <v/>
          </cell>
        </row>
        <row r="2116">
          <cell r="A2116" t="str">
            <v/>
          </cell>
        </row>
        <row r="2117">
          <cell r="A2117" t="str">
            <v/>
          </cell>
        </row>
        <row r="2118">
          <cell r="A2118" t="str">
            <v/>
          </cell>
        </row>
        <row r="2119">
          <cell r="A2119" t="str">
            <v/>
          </cell>
        </row>
        <row r="2120">
          <cell r="A2120" t="str">
            <v/>
          </cell>
        </row>
        <row r="2121">
          <cell r="A2121" t="str">
            <v/>
          </cell>
        </row>
        <row r="2122">
          <cell r="A2122" t="str">
            <v/>
          </cell>
        </row>
        <row r="2123">
          <cell r="A2123" t="str">
            <v/>
          </cell>
        </row>
        <row r="2124">
          <cell r="A2124" t="str">
            <v/>
          </cell>
        </row>
        <row r="2125">
          <cell r="A2125" t="str">
            <v/>
          </cell>
        </row>
        <row r="2126">
          <cell r="A2126" t="str">
            <v/>
          </cell>
        </row>
        <row r="2127">
          <cell r="A2127" t="str">
            <v/>
          </cell>
        </row>
        <row r="2128">
          <cell r="A2128" t="str">
            <v/>
          </cell>
        </row>
        <row r="2129">
          <cell r="A2129" t="str">
            <v/>
          </cell>
        </row>
        <row r="2130">
          <cell r="A2130" t="str">
            <v/>
          </cell>
        </row>
        <row r="2131">
          <cell r="A2131" t="str">
            <v/>
          </cell>
        </row>
        <row r="2132">
          <cell r="A2132" t="str">
            <v/>
          </cell>
        </row>
        <row r="2133">
          <cell r="A2133" t="str">
            <v/>
          </cell>
        </row>
        <row r="2134">
          <cell r="A2134" t="str">
            <v/>
          </cell>
        </row>
        <row r="2135">
          <cell r="A2135" t="str">
            <v/>
          </cell>
        </row>
        <row r="2136">
          <cell r="A2136" t="str">
            <v/>
          </cell>
        </row>
        <row r="2137">
          <cell r="A2137" t="str">
            <v/>
          </cell>
        </row>
        <row r="2138">
          <cell r="A2138" t="str">
            <v/>
          </cell>
        </row>
        <row r="2139">
          <cell r="A2139" t="str">
            <v/>
          </cell>
        </row>
        <row r="2140">
          <cell r="A2140" t="str">
            <v/>
          </cell>
        </row>
        <row r="2141">
          <cell r="A2141" t="str">
            <v/>
          </cell>
        </row>
        <row r="2142">
          <cell r="A2142" t="str">
            <v/>
          </cell>
        </row>
        <row r="2143">
          <cell r="A2143" t="str">
            <v/>
          </cell>
        </row>
        <row r="2144">
          <cell r="A2144" t="str">
            <v/>
          </cell>
        </row>
        <row r="2145">
          <cell r="A2145" t="str">
            <v/>
          </cell>
        </row>
        <row r="2146">
          <cell r="A2146" t="str">
            <v/>
          </cell>
        </row>
        <row r="2147">
          <cell r="A2147" t="str">
            <v/>
          </cell>
        </row>
        <row r="2148">
          <cell r="A2148" t="str">
            <v/>
          </cell>
        </row>
        <row r="2149">
          <cell r="A2149" t="str">
            <v/>
          </cell>
        </row>
        <row r="2150">
          <cell r="A2150" t="str">
            <v/>
          </cell>
        </row>
        <row r="2151">
          <cell r="A2151" t="str">
            <v/>
          </cell>
        </row>
        <row r="2152">
          <cell r="A2152" t="str">
            <v/>
          </cell>
        </row>
        <row r="2153">
          <cell r="A2153" t="str">
            <v/>
          </cell>
        </row>
        <row r="2154">
          <cell r="A2154" t="str">
            <v/>
          </cell>
        </row>
        <row r="2155">
          <cell r="A2155" t="str">
            <v/>
          </cell>
        </row>
        <row r="2156">
          <cell r="A2156" t="str">
            <v/>
          </cell>
        </row>
        <row r="2157">
          <cell r="A2157" t="str">
            <v/>
          </cell>
        </row>
        <row r="2158">
          <cell r="A2158" t="str">
            <v/>
          </cell>
        </row>
        <row r="2159">
          <cell r="A2159" t="str">
            <v/>
          </cell>
        </row>
        <row r="2160">
          <cell r="A2160" t="str">
            <v/>
          </cell>
        </row>
        <row r="2161">
          <cell r="A2161" t="str">
            <v/>
          </cell>
        </row>
        <row r="2162">
          <cell r="A2162" t="str">
            <v/>
          </cell>
        </row>
        <row r="2163">
          <cell r="A2163" t="str">
            <v/>
          </cell>
        </row>
        <row r="2164">
          <cell r="A2164" t="str">
            <v/>
          </cell>
        </row>
        <row r="2165">
          <cell r="A2165" t="str">
            <v/>
          </cell>
        </row>
        <row r="2166">
          <cell r="A2166" t="str">
            <v/>
          </cell>
        </row>
        <row r="2167">
          <cell r="A2167" t="str">
            <v/>
          </cell>
        </row>
        <row r="2168">
          <cell r="A2168" t="str">
            <v/>
          </cell>
        </row>
        <row r="2169">
          <cell r="A2169" t="str">
            <v/>
          </cell>
        </row>
        <row r="2170">
          <cell r="A2170" t="str">
            <v/>
          </cell>
        </row>
        <row r="2171">
          <cell r="A2171" t="str">
            <v/>
          </cell>
        </row>
        <row r="2172">
          <cell r="A2172" t="str">
            <v/>
          </cell>
        </row>
        <row r="2173">
          <cell r="A2173" t="str">
            <v/>
          </cell>
        </row>
        <row r="2174">
          <cell r="A2174" t="str">
            <v/>
          </cell>
        </row>
        <row r="2175">
          <cell r="A2175" t="str">
            <v/>
          </cell>
        </row>
        <row r="2176">
          <cell r="A2176" t="str">
            <v/>
          </cell>
        </row>
        <row r="2177">
          <cell r="A2177" t="str">
            <v/>
          </cell>
        </row>
        <row r="2178">
          <cell r="A2178" t="str">
            <v/>
          </cell>
        </row>
        <row r="2179">
          <cell r="A2179" t="str">
            <v/>
          </cell>
        </row>
        <row r="2180">
          <cell r="A2180" t="str">
            <v/>
          </cell>
        </row>
        <row r="2181">
          <cell r="A2181" t="str">
            <v/>
          </cell>
        </row>
        <row r="2182">
          <cell r="A2182" t="str">
            <v/>
          </cell>
        </row>
        <row r="2183">
          <cell r="A2183" t="str">
            <v/>
          </cell>
        </row>
        <row r="2184">
          <cell r="A2184" t="str">
            <v/>
          </cell>
        </row>
        <row r="2185">
          <cell r="A2185" t="str">
            <v/>
          </cell>
        </row>
        <row r="2186">
          <cell r="A2186" t="str">
            <v/>
          </cell>
        </row>
        <row r="2187">
          <cell r="A2187" t="str">
            <v/>
          </cell>
        </row>
        <row r="2188">
          <cell r="A2188" t="str">
            <v/>
          </cell>
        </row>
        <row r="2189">
          <cell r="A2189" t="str">
            <v/>
          </cell>
        </row>
        <row r="2190">
          <cell r="A2190" t="str">
            <v/>
          </cell>
        </row>
        <row r="2191">
          <cell r="A2191" t="str">
            <v/>
          </cell>
        </row>
        <row r="2192">
          <cell r="A2192" t="str">
            <v/>
          </cell>
        </row>
        <row r="2193">
          <cell r="A2193" t="str">
            <v/>
          </cell>
        </row>
        <row r="2194">
          <cell r="A2194" t="str">
            <v/>
          </cell>
        </row>
        <row r="2195">
          <cell r="A2195" t="str">
            <v/>
          </cell>
        </row>
        <row r="2196">
          <cell r="A2196" t="str">
            <v/>
          </cell>
        </row>
        <row r="2197">
          <cell r="A2197" t="str">
            <v/>
          </cell>
        </row>
        <row r="2198">
          <cell r="A2198" t="str">
            <v/>
          </cell>
        </row>
        <row r="2199">
          <cell r="A2199" t="str">
            <v/>
          </cell>
        </row>
        <row r="2200">
          <cell r="A2200" t="str">
            <v/>
          </cell>
        </row>
        <row r="2201">
          <cell r="A2201" t="str">
            <v/>
          </cell>
        </row>
        <row r="2202">
          <cell r="A2202" t="str">
            <v/>
          </cell>
        </row>
        <row r="2203">
          <cell r="A2203" t="str">
            <v/>
          </cell>
        </row>
        <row r="2204">
          <cell r="A2204" t="str">
            <v/>
          </cell>
        </row>
        <row r="2205">
          <cell r="A2205" t="str">
            <v/>
          </cell>
        </row>
        <row r="2206">
          <cell r="A2206" t="str">
            <v/>
          </cell>
        </row>
        <row r="2207">
          <cell r="A2207" t="str">
            <v/>
          </cell>
        </row>
        <row r="2208">
          <cell r="A2208" t="str">
            <v/>
          </cell>
        </row>
        <row r="2209">
          <cell r="A2209" t="str">
            <v/>
          </cell>
        </row>
        <row r="2210">
          <cell r="A2210" t="str">
            <v/>
          </cell>
        </row>
        <row r="2211">
          <cell r="A2211" t="str">
            <v/>
          </cell>
        </row>
        <row r="2212">
          <cell r="A2212" t="str">
            <v/>
          </cell>
        </row>
        <row r="2213">
          <cell r="A2213" t="str">
            <v/>
          </cell>
        </row>
        <row r="2214">
          <cell r="A2214" t="str">
            <v/>
          </cell>
        </row>
        <row r="2215">
          <cell r="A2215" t="str">
            <v/>
          </cell>
        </row>
        <row r="2216">
          <cell r="A2216" t="str">
            <v/>
          </cell>
        </row>
        <row r="2217">
          <cell r="A2217" t="str">
            <v/>
          </cell>
        </row>
        <row r="2218">
          <cell r="A2218" t="str">
            <v/>
          </cell>
        </row>
        <row r="2219">
          <cell r="A2219" t="str">
            <v/>
          </cell>
        </row>
        <row r="2220">
          <cell r="A2220" t="str">
            <v/>
          </cell>
        </row>
        <row r="2221">
          <cell r="A2221" t="str">
            <v/>
          </cell>
        </row>
        <row r="2222">
          <cell r="A2222" t="str">
            <v/>
          </cell>
        </row>
        <row r="2223">
          <cell r="A2223" t="str">
            <v/>
          </cell>
        </row>
        <row r="2224">
          <cell r="A2224" t="str">
            <v/>
          </cell>
        </row>
        <row r="2225">
          <cell r="A2225" t="str">
            <v/>
          </cell>
        </row>
        <row r="2226">
          <cell r="A2226" t="str">
            <v/>
          </cell>
        </row>
        <row r="2227">
          <cell r="A2227" t="str">
            <v/>
          </cell>
        </row>
        <row r="2228">
          <cell r="A2228" t="str">
            <v/>
          </cell>
        </row>
        <row r="2229">
          <cell r="A2229" t="str">
            <v/>
          </cell>
        </row>
        <row r="2230">
          <cell r="A2230" t="str">
            <v/>
          </cell>
        </row>
        <row r="2231">
          <cell r="A2231" t="str">
            <v/>
          </cell>
        </row>
        <row r="2232">
          <cell r="A2232" t="str">
            <v/>
          </cell>
        </row>
        <row r="2233">
          <cell r="A2233" t="str">
            <v/>
          </cell>
        </row>
        <row r="2234">
          <cell r="A2234" t="str">
            <v/>
          </cell>
        </row>
        <row r="2235">
          <cell r="A2235" t="str">
            <v/>
          </cell>
        </row>
        <row r="2236">
          <cell r="A2236" t="str">
            <v/>
          </cell>
        </row>
        <row r="2237">
          <cell r="A2237" t="str">
            <v/>
          </cell>
        </row>
        <row r="2238">
          <cell r="A2238" t="str">
            <v/>
          </cell>
        </row>
        <row r="2239">
          <cell r="A2239" t="str">
            <v/>
          </cell>
        </row>
        <row r="2240">
          <cell r="A2240" t="str">
            <v/>
          </cell>
        </row>
        <row r="2241">
          <cell r="A2241" t="str">
            <v/>
          </cell>
        </row>
        <row r="2242">
          <cell r="A2242" t="str">
            <v/>
          </cell>
        </row>
        <row r="2243">
          <cell r="A2243" t="str">
            <v/>
          </cell>
        </row>
        <row r="2244">
          <cell r="A2244" t="str">
            <v/>
          </cell>
        </row>
        <row r="2245">
          <cell r="A2245" t="str">
            <v/>
          </cell>
        </row>
        <row r="2246">
          <cell r="A2246" t="str">
            <v/>
          </cell>
        </row>
        <row r="2247">
          <cell r="A2247" t="str">
            <v/>
          </cell>
        </row>
        <row r="2248">
          <cell r="A2248" t="str">
            <v/>
          </cell>
        </row>
        <row r="2249">
          <cell r="A2249" t="str">
            <v/>
          </cell>
        </row>
        <row r="2250">
          <cell r="A2250" t="str">
            <v/>
          </cell>
        </row>
        <row r="2251">
          <cell r="A2251" t="str">
            <v/>
          </cell>
        </row>
        <row r="2252">
          <cell r="A2252" t="str">
            <v/>
          </cell>
        </row>
        <row r="2253">
          <cell r="A2253" t="str">
            <v/>
          </cell>
        </row>
        <row r="2254">
          <cell r="A2254" t="str">
            <v/>
          </cell>
        </row>
        <row r="2255">
          <cell r="A2255" t="str">
            <v/>
          </cell>
        </row>
        <row r="2256">
          <cell r="A2256" t="str">
            <v/>
          </cell>
        </row>
        <row r="2257">
          <cell r="A2257" t="str">
            <v/>
          </cell>
        </row>
        <row r="2258">
          <cell r="A2258" t="str">
            <v/>
          </cell>
        </row>
        <row r="2259">
          <cell r="A2259" t="str">
            <v/>
          </cell>
        </row>
        <row r="2260">
          <cell r="A2260" t="str">
            <v/>
          </cell>
        </row>
        <row r="2261">
          <cell r="A2261" t="str">
            <v/>
          </cell>
        </row>
        <row r="2262">
          <cell r="A2262" t="str">
            <v/>
          </cell>
        </row>
        <row r="2263">
          <cell r="A2263" t="str">
            <v/>
          </cell>
        </row>
        <row r="2264">
          <cell r="A2264" t="str">
            <v/>
          </cell>
        </row>
        <row r="2265">
          <cell r="A2265" t="str">
            <v/>
          </cell>
        </row>
        <row r="2266">
          <cell r="A2266" t="str">
            <v/>
          </cell>
        </row>
        <row r="2267">
          <cell r="A2267" t="str">
            <v/>
          </cell>
        </row>
        <row r="2268">
          <cell r="A2268" t="str">
            <v/>
          </cell>
        </row>
        <row r="2269">
          <cell r="A2269" t="str">
            <v/>
          </cell>
        </row>
        <row r="2270">
          <cell r="A2270" t="str">
            <v/>
          </cell>
        </row>
        <row r="2271">
          <cell r="A2271" t="str">
            <v/>
          </cell>
        </row>
        <row r="2272">
          <cell r="A2272" t="str">
            <v/>
          </cell>
        </row>
        <row r="2273">
          <cell r="A2273" t="str">
            <v/>
          </cell>
        </row>
        <row r="2274">
          <cell r="A2274" t="str">
            <v/>
          </cell>
        </row>
        <row r="2275">
          <cell r="A2275" t="str">
            <v/>
          </cell>
        </row>
        <row r="2276">
          <cell r="A2276" t="str">
            <v/>
          </cell>
        </row>
        <row r="2277">
          <cell r="A2277" t="str">
            <v/>
          </cell>
        </row>
        <row r="2278">
          <cell r="A2278" t="str">
            <v/>
          </cell>
        </row>
        <row r="2279">
          <cell r="A2279" t="str">
            <v/>
          </cell>
        </row>
        <row r="2280">
          <cell r="A2280" t="str">
            <v/>
          </cell>
        </row>
        <row r="2281">
          <cell r="A2281" t="str">
            <v/>
          </cell>
        </row>
        <row r="2282">
          <cell r="A2282" t="str">
            <v/>
          </cell>
        </row>
        <row r="2283">
          <cell r="A2283" t="str">
            <v/>
          </cell>
        </row>
        <row r="2284">
          <cell r="A2284" t="str">
            <v/>
          </cell>
        </row>
        <row r="2285">
          <cell r="A2285" t="str">
            <v/>
          </cell>
        </row>
        <row r="2286">
          <cell r="A2286" t="str">
            <v/>
          </cell>
        </row>
        <row r="2287">
          <cell r="A2287" t="str">
            <v/>
          </cell>
        </row>
        <row r="2288">
          <cell r="A2288" t="str">
            <v/>
          </cell>
        </row>
        <row r="2289">
          <cell r="A2289" t="str">
            <v/>
          </cell>
        </row>
        <row r="2290">
          <cell r="A2290" t="str">
            <v/>
          </cell>
        </row>
        <row r="2291">
          <cell r="A2291" t="str">
            <v/>
          </cell>
        </row>
        <row r="2292">
          <cell r="A2292" t="str">
            <v/>
          </cell>
        </row>
        <row r="2293">
          <cell r="A2293" t="str">
            <v/>
          </cell>
        </row>
        <row r="2294">
          <cell r="A2294" t="str">
            <v/>
          </cell>
        </row>
        <row r="2295">
          <cell r="A2295" t="str">
            <v/>
          </cell>
        </row>
        <row r="2296">
          <cell r="A2296" t="str">
            <v/>
          </cell>
        </row>
        <row r="2297">
          <cell r="A2297" t="str">
            <v/>
          </cell>
        </row>
        <row r="2298">
          <cell r="A2298" t="str">
            <v/>
          </cell>
        </row>
        <row r="2299">
          <cell r="A2299" t="str">
            <v/>
          </cell>
        </row>
        <row r="2300">
          <cell r="A2300" t="str">
            <v/>
          </cell>
        </row>
        <row r="2301">
          <cell r="A2301" t="str">
            <v/>
          </cell>
        </row>
        <row r="2302">
          <cell r="A2302" t="str">
            <v/>
          </cell>
        </row>
        <row r="2303">
          <cell r="A2303" t="str">
            <v/>
          </cell>
        </row>
        <row r="2304">
          <cell r="A2304" t="str">
            <v/>
          </cell>
        </row>
        <row r="2305">
          <cell r="A2305" t="str">
            <v/>
          </cell>
        </row>
        <row r="2306">
          <cell r="A2306" t="str">
            <v/>
          </cell>
        </row>
        <row r="2307">
          <cell r="A2307" t="str">
            <v/>
          </cell>
        </row>
        <row r="2308">
          <cell r="A2308" t="str">
            <v/>
          </cell>
        </row>
        <row r="2309">
          <cell r="A2309" t="str">
            <v/>
          </cell>
        </row>
        <row r="2310">
          <cell r="A2310" t="str">
            <v/>
          </cell>
        </row>
        <row r="2311">
          <cell r="A2311" t="str">
            <v/>
          </cell>
        </row>
        <row r="2312">
          <cell r="A2312" t="str">
            <v/>
          </cell>
        </row>
        <row r="2313">
          <cell r="A2313" t="str">
            <v/>
          </cell>
        </row>
        <row r="2314">
          <cell r="A2314" t="str">
            <v/>
          </cell>
        </row>
        <row r="2315">
          <cell r="A2315" t="str">
            <v/>
          </cell>
        </row>
        <row r="2316">
          <cell r="A2316" t="str">
            <v/>
          </cell>
        </row>
        <row r="2317">
          <cell r="A2317" t="str">
            <v/>
          </cell>
        </row>
        <row r="2318">
          <cell r="A2318" t="str">
            <v/>
          </cell>
        </row>
        <row r="2319">
          <cell r="A2319" t="str">
            <v/>
          </cell>
        </row>
        <row r="2320">
          <cell r="A2320" t="str">
            <v/>
          </cell>
        </row>
        <row r="2321">
          <cell r="A2321" t="str">
            <v/>
          </cell>
        </row>
        <row r="2322">
          <cell r="A2322" t="str">
            <v/>
          </cell>
        </row>
        <row r="2323">
          <cell r="A2323" t="str">
            <v/>
          </cell>
        </row>
        <row r="2324">
          <cell r="A2324" t="str">
            <v/>
          </cell>
        </row>
        <row r="2325">
          <cell r="A2325" t="str">
            <v/>
          </cell>
        </row>
        <row r="2326">
          <cell r="A2326" t="str">
            <v/>
          </cell>
        </row>
        <row r="2327">
          <cell r="A2327" t="str">
            <v/>
          </cell>
        </row>
        <row r="2328">
          <cell r="A2328" t="str">
            <v/>
          </cell>
        </row>
        <row r="2329">
          <cell r="A2329" t="str">
            <v/>
          </cell>
        </row>
        <row r="2330">
          <cell r="A2330" t="str">
            <v/>
          </cell>
        </row>
        <row r="2331">
          <cell r="A2331" t="str">
            <v/>
          </cell>
        </row>
        <row r="2332">
          <cell r="A2332" t="str">
            <v/>
          </cell>
        </row>
        <row r="2333">
          <cell r="A2333" t="str">
            <v/>
          </cell>
        </row>
        <row r="2334">
          <cell r="A2334" t="str">
            <v/>
          </cell>
        </row>
        <row r="2335">
          <cell r="A2335" t="str">
            <v/>
          </cell>
        </row>
        <row r="2336">
          <cell r="A2336" t="str">
            <v/>
          </cell>
        </row>
        <row r="2337">
          <cell r="A2337" t="str">
            <v/>
          </cell>
        </row>
        <row r="2338">
          <cell r="A2338" t="str">
            <v/>
          </cell>
        </row>
        <row r="2339">
          <cell r="A2339" t="str">
            <v/>
          </cell>
        </row>
        <row r="2340">
          <cell r="A2340" t="str">
            <v/>
          </cell>
        </row>
        <row r="2341">
          <cell r="A2341" t="str">
            <v/>
          </cell>
        </row>
        <row r="2342">
          <cell r="A2342" t="str">
            <v/>
          </cell>
        </row>
        <row r="2343">
          <cell r="A2343" t="str">
            <v/>
          </cell>
        </row>
        <row r="2344">
          <cell r="A2344" t="str">
            <v/>
          </cell>
        </row>
        <row r="2345">
          <cell r="A2345" t="str">
            <v/>
          </cell>
        </row>
        <row r="2346">
          <cell r="A2346" t="str">
            <v/>
          </cell>
        </row>
        <row r="2347">
          <cell r="A2347" t="str">
            <v/>
          </cell>
        </row>
        <row r="2348">
          <cell r="A2348" t="str">
            <v/>
          </cell>
        </row>
        <row r="2349">
          <cell r="A2349" t="str">
            <v/>
          </cell>
        </row>
        <row r="2350">
          <cell r="A2350" t="str">
            <v/>
          </cell>
        </row>
        <row r="2351">
          <cell r="A2351" t="str">
            <v/>
          </cell>
        </row>
        <row r="2352">
          <cell r="A2352" t="str">
            <v/>
          </cell>
        </row>
        <row r="2353">
          <cell r="A2353" t="str">
            <v/>
          </cell>
        </row>
        <row r="2354">
          <cell r="A2354" t="str">
            <v/>
          </cell>
        </row>
        <row r="2355">
          <cell r="A2355" t="str">
            <v/>
          </cell>
        </row>
        <row r="2356">
          <cell r="A2356" t="str">
            <v/>
          </cell>
        </row>
        <row r="2357">
          <cell r="A2357" t="str">
            <v/>
          </cell>
        </row>
        <row r="2358">
          <cell r="A2358" t="str">
            <v/>
          </cell>
        </row>
        <row r="2359">
          <cell r="A2359" t="str">
            <v/>
          </cell>
        </row>
        <row r="2360">
          <cell r="A2360" t="str">
            <v/>
          </cell>
        </row>
        <row r="2361">
          <cell r="A2361" t="str">
            <v/>
          </cell>
        </row>
        <row r="2362">
          <cell r="A2362" t="str">
            <v/>
          </cell>
        </row>
        <row r="2363">
          <cell r="A2363" t="str">
            <v/>
          </cell>
        </row>
        <row r="2364">
          <cell r="A2364" t="str">
            <v/>
          </cell>
        </row>
        <row r="2365">
          <cell r="A2365" t="str">
            <v/>
          </cell>
        </row>
        <row r="2366">
          <cell r="A2366" t="str">
            <v/>
          </cell>
        </row>
        <row r="2367">
          <cell r="A2367" t="str">
            <v/>
          </cell>
        </row>
        <row r="2368">
          <cell r="A2368" t="str">
            <v/>
          </cell>
        </row>
        <row r="2369">
          <cell r="A2369" t="str">
            <v/>
          </cell>
        </row>
        <row r="2370">
          <cell r="A2370" t="str">
            <v/>
          </cell>
        </row>
        <row r="2371">
          <cell r="A2371" t="str">
            <v/>
          </cell>
        </row>
        <row r="2372">
          <cell r="A2372" t="str">
            <v/>
          </cell>
        </row>
        <row r="2373">
          <cell r="A2373" t="str">
            <v/>
          </cell>
        </row>
        <row r="2374">
          <cell r="A2374" t="str">
            <v/>
          </cell>
        </row>
        <row r="2375">
          <cell r="A2375" t="str">
            <v/>
          </cell>
        </row>
        <row r="2376">
          <cell r="A2376" t="str">
            <v/>
          </cell>
        </row>
        <row r="2377">
          <cell r="A2377" t="str">
            <v/>
          </cell>
        </row>
        <row r="2378">
          <cell r="A2378" t="str">
            <v/>
          </cell>
        </row>
        <row r="2379">
          <cell r="A2379" t="str">
            <v/>
          </cell>
        </row>
        <row r="2380">
          <cell r="A2380" t="str">
            <v/>
          </cell>
        </row>
        <row r="2381">
          <cell r="A2381" t="str">
            <v/>
          </cell>
        </row>
        <row r="2382">
          <cell r="A2382" t="str">
            <v/>
          </cell>
        </row>
        <row r="2383">
          <cell r="A2383" t="str">
            <v/>
          </cell>
        </row>
        <row r="2384">
          <cell r="A2384" t="str">
            <v/>
          </cell>
        </row>
        <row r="2385">
          <cell r="A2385" t="str">
            <v/>
          </cell>
        </row>
        <row r="2386">
          <cell r="A2386" t="str">
            <v/>
          </cell>
        </row>
        <row r="2387">
          <cell r="A2387" t="str">
            <v/>
          </cell>
        </row>
        <row r="2388">
          <cell r="A2388" t="str">
            <v/>
          </cell>
        </row>
        <row r="2389">
          <cell r="A2389" t="str">
            <v/>
          </cell>
        </row>
        <row r="2390">
          <cell r="A2390" t="str">
            <v/>
          </cell>
        </row>
        <row r="2391">
          <cell r="A2391" t="str">
            <v/>
          </cell>
        </row>
        <row r="2392">
          <cell r="A2392" t="str">
            <v/>
          </cell>
        </row>
        <row r="2393">
          <cell r="A2393" t="str">
            <v/>
          </cell>
        </row>
        <row r="2394">
          <cell r="A2394" t="str">
            <v/>
          </cell>
        </row>
        <row r="2395">
          <cell r="A2395" t="str">
            <v/>
          </cell>
        </row>
        <row r="2396">
          <cell r="A2396" t="str">
            <v/>
          </cell>
        </row>
        <row r="2397">
          <cell r="A2397" t="str">
            <v/>
          </cell>
        </row>
        <row r="2398">
          <cell r="A2398" t="str">
            <v/>
          </cell>
        </row>
        <row r="2399">
          <cell r="A2399" t="str">
            <v/>
          </cell>
        </row>
        <row r="2400">
          <cell r="A2400" t="str">
            <v/>
          </cell>
        </row>
        <row r="2401">
          <cell r="A2401" t="str">
            <v/>
          </cell>
        </row>
        <row r="2402">
          <cell r="A2402" t="str">
            <v/>
          </cell>
        </row>
        <row r="2403">
          <cell r="A2403" t="str">
            <v/>
          </cell>
        </row>
        <row r="2404">
          <cell r="A2404" t="str">
            <v/>
          </cell>
        </row>
        <row r="2405">
          <cell r="A2405" t="str">
            <v/>
          </cell>
        </row>
        <row r="2406">
          <cell r="A2406" t="str">
            <v/>
          </cell>
        </row>
        <row r="2407">
          <cell r="A2407" t="str">
            <v/>
          </cell>
        </row>
        <row r="2408">
          <cell r="A2408" t="str">
            <v/>
          </cell>
        </row>
        <row r="2409">
          <cell r="A2409" t="str">
            <v/>
          </cell>
        </row>
        <row r="2410">
          <cell r="A2410" t="str">
            <v/>
          </cell>
        </row>
        <row r="2411">
          <cell r="A2411" t="str">
            <v/>
          </cell>
        </row>
        <row r="2412">
          <cell r="A2412" t="str">
            <v/>
          </cell>
        </row>
        <row r="2413">
          <cell r="A2413" t="str">
            <v/>
          </cell>
        </row>
        <row r="2414">
          <cell r="A2414" t="str">
            <v/>
          </cell>
        </row>
        <row r="2415">
          <cell r="A2415" t="str">
            <v/>
          </cell>
        </row>
        <row r="2416">
          <cell r="A2416" t="str">
            <v/>
          </cell>
        </row>
        <row r="2417">
          <cell r="A2417" t="str">
            <v/>
          </cell>
        </row>
        <row r="2418">
          <cell r="A2418" t="str">
            <v/>
          </cell>
        </row>
        <row r="2419">
          <cell r="A2419" t="str">
            <v/>
          </cell>
        </row>
        <row r="2420">
          <cell r="A2420" t="str">
            <v/>
          </cell>
        </row>
        <row r="2421">
          <cell r="A2421" t="str">
            <v/>
          </cell>
        </row>
        <row r="2422">
          <cell r="A2422" t="str">
            <v/>
          </cell>
        </row>
        <row r="2423">
          <cell r="A2423" t="str">
            <v/>
          </cell>
        </row>
        <row r="2424">
          <cell r="A2424" t="str">
            <v/>
          </cell>
        </row>
        <row r="2425">
          <cell r="A2425" t="str">
            <v/>
          </cell>
        </row>
        <row r="2426">
          <cell r="A2426" t="str">
            <v/>
          </cell>
        </row>
        <row r="2427">
          <cell r="A2427" t="str">
            <v/>
          </cell>
        </row>
        <row r="2428">
          <cell r="A2428" t="str">
            <v/>
          </cell>
        </row>
        <row r="2429">
          <cell r="A2429" t="str">
            <v/>
          </cell>
        </row>
        <row r="2430">
          <cell r="A2430" t="str">
            <v/>
          </cell>
        </row>
        <row r="2431">
          <cell r="A2431" t="str">
            <v/>
          </cell>
        </row>
        <row r="2432">
          <cell r="A2432" t="str">
            <v/>
          </cell>
        </row>
        <row r="2433">
          <cell r="A2433" t="str">
            <v/>
          </cell>
        </row>
        <row r="2434">
          <cell r="A2434" t="str">
            <v/>
          </cell>
        </row>
        <row r="2435">
          <cell r="A2435" t="str">
            <v/>
          </cell>
        </row>
        <row r="2436">
          <cell r="A2436" t="str">
            <v/>
          </cell>
        </row>
        <row r="2437">
          <cell r="A2437" t="str">
            <v/>
          </cell>
        </row>
        <row r="2438">
          <cell r="A2438" t="str">
            <v/>
          </cell>
        </row>
        <row r="2439">
          <cell r="A2439" t="str">
            <v/>
          </cell>
        </row>
        <row r="2440">
          <cell r="A2440" t="str">
            <v/>
          </cell>
        </row>
        <row r="2441">
          <cell r="A2441" t="str">
            <v/>
          </cell>
        </row>
        <row r="2442">
          <cell r="A2442" t="str">
            <v/>
          </cell>
        </row>
        <row r="2443">
          <cell r="A2443" t="str">
            <v/>
          </cell>
        </row>
        <row r="2444">
          <cell r="A2444" t="str">
            <v/>
          </cell>
        </row>
        <row r="2445">
          <cell r="A2445" t="str">
            <v/>
          </cell>
        </row>
        <row r="2446">
          <cell r="A2446" t="str">
            <v/>
          </cell>
        </row>
        <row r="2447">
          <cell r="A2447" t="str">
            <v/>
          </cell>
        </row>
        <row r="2448">
          <cell r="A2448" t="str">
            <v/>
          </cell>
        </row>
        <row r="2449">
          <cell r="A2449" t="str">
            <v/>
          </cell>
        </row>
        <row r="2450">
          <cell r="A2450" t="str">
            <v/>
          </cell>
        </row>
        <row r="2451">
          <cell r="A2451" t="str">
            <v/>
          </cell>
        </row>
        <row r="2452">
          <cell r="A2452" t="str">
            <v/>
          </cell>
        </row>
        <row r="2453">
          <cell r="A2453" t="str">
            <v/>
          </cell>
        </row>
        <row r="2454">
          <cell r="A2454" t="str">
            <v/>
          </cell>
        </row>
        <row r="2455">
          <cell r="A2455" t="str">
            <v/>
          </cell>
        </row>
        <row r="2456">
          <cell r="A2456" t="str">
            <v/>
          </cell>
        </row>
        <row r="2457">
          <cell r="A2457" t="str">
            <v/>
          </cell>
        </row>
        <row r="2458">
          <cell r="A2458" t="str">
            <v/>
          </cell>
        </row>
        <row r="2459">
          <cell r="A2459" t="str">
            <v/>
          </cell>
        </row>
        <row r="2460">
          <cell r="A2460" t="str">
            <v/>
          </cell>
        </row>
        <row r="2461">
          <cell r="A2461" t="str">
            <v/>
          </cell>
        </row>
        <row r="2462">
          <cell r="A2462" t="str">
            <v/>
          </cell>
        </row>
        <row r="2463">
          <cell r="A2463" t="str">
            <v/>
          </cell>
        </row>
        <row r="2464">
          <cell r="A2464" t="str">
            <v/>
          </cell>
        </row>
        <row r="2465">
          <cell r="A2465" t="str">
            <v/>
          </cell>
        </row>
        <row r="2466">
          <cell r="A2466" t="str">
            <v/>
          </cell>
        </row>
        <row r="2467">
          <cell r="A2467" t="str">
            <v/>
          </cell>
        </row>
        <row r="2468">
          <cell r="A2468" t="str">
            <v/>
          </cell>
        </row>
        <row r="2469">
          <cell r="A2469" t="str">
            <v/>
          </cell>
        </row>
        <row r="2470">
          <cell r="A2470" t="str">
            <v/>
          </cell>
        </row>
        <row r="2471">
          <cell r="A2471" t="str">
            <v/>
          </cell>
        </row>
        <row r="2472">
          <cell r="A2472" t="str">
            <v/>
          </cell>
        </row>
        <row r="2473">
          <cell r="A2473" t="str">
            <v/>
          </cell>
        </row>
        <row r="2474">
          <cell r="A2474" t="str">
            <v/>
          </cell>
        </row>
        <row r="2475">
          <cell r="A2475" t="str">
            <v/>
          </cell>
        </row>
        <row r="2476">
          <cell r="A2476" t="str">
            <v/>
          </cell>
        </row>
        <row r="2477">
          <cell r="A2477" t="str">
            <v/>
          </cell>
        </row>
        <row r="2478">
          <cell r="A2478" t="str">
            <v/>
          </cell>
        </row>
        <row r="2479">
          <cell r="A2479" t="str">
            <v/>
          </cell>
        </row>
        <row r="2480">
          <cell r="A2480" t="str">
            <v/>
          </cell>
        </row>
        <row r="2481">
          <cell r="A2481" t="str">
            <v/>
          </cell>
        </row>
        <row r="2482">
          <cell r="A2482" t="str">
            <v/>
          </cell>
        </row>
        <row r="2483">
          <cell r="A2483" t="str">
            <v/>
          </cell>
        </row>
        <row r="2484">
          <cell r="A2484" t="str">
            <v/>
          </cell>
        </row>
        <row r="2485">
          <cell r="A2485" t="str">
            <v/>
          </cell>
        </row>
        <row r="2486">
          <cell r="A2486" t="str">
            <v/>
          </cell>
        </row>
        <row r="2487">
          <cell r="A2487" t="str">
            <v/>
          </cell>
        </row>
        <row r="2488">
          <cell r="A2488" t="str">
            <v/>
          </cell>
        </row>
        <row r="2489">
          <cell r="A2489" t="str">
            <v/>
          </cell>
        </row>
        <row r="2490">
          <cell r="A2490" t="str">
            <v/>
          </cell>
        </row>
        <row r="2491">
          <cell r="A2491" t="str">
            <v/>
          </cell>
        </row>
        <row r="2492">
          <cell r="A2492" t="str">
            <v/>
          </cell>
        </row>
        <row r="2493">
          <cell r="A2493" t="str">
            <v/>
          </cell>
        </row>
        <row r="2494">
          <cell r="A2494" t="str">
            <v/>
          </cell>
        </row>
        <row r="2495">
          <cell r="A2495" t="str">
            <v/>
          </cell>
        </row>
        <row r="2496">
          <cell r="A2496" t="str">
            <v/>
          </cell>
        </row>
        <row r="2497">
          <cell r="A2497" t="str">
            <v/>
          </cell>
        </row>
        <row r="2498">
          <cell r="A2498" t="str">
            <v/>
          </cell>
        </row>
        <row r="2499">
          <cell r="A2499" t="str">
            <v/>
          </cell>
        </row>
        <row r="2500">
          <cell r="A2500" t="str">
            <v/>
          </cell>
        </row>
        <row r="2501">
          <cell r="A2501" t="str">
            <v/>
          </cell>
        </row>
        <row r="2502">
          <cell r="A2502" t="str">
            <v/>
          </cell>
        </row>
        <row r="2503">
          <cell r="A2503" t="str">
            <v/>
          </cell>
        </row>
        <row r="2504">
          <cell r="A2504" t="str">
            <v/>
          </cell>
        </row>
        <row r="2505">
          <cell r="A2505" t="str">
            <v/>
          </cell>
        </row>
        <row r="2506">
          <cell r="A2506" t="str">
            <v/>
          </cell>
        </row>
        <row r="2507">
          <cell r="A2507" t="str">
            <v/>
          </cell>
        </row>
        <row r="2508">
          <cell r="A2508" t="str">
            <v/>
          </cell>
        </row>
        <row r="2509">
          <cell r="A2509" t="str">
            <v/>
          </cell>
        </row>
        <row r="2510">
          <cell r="A2510" t="str">
            <v/>
          </cell>
        </row>
        <row r="2511">
          <cell r="A2511" t="str">
            <v/>
          </cell>
        </row>
        <row r="2512">
          <cell r="A2512" t="str">
            <v/>
          </cell>
        </row>
        <row r="2513">
          <cell r="A2513" t="str">
            <v/>
          </cell>
        </row>
        <row r="2514">
          <cell r="A2514" t="str">
            <v/>
          </cell>
        </row>
        <row r="2515">
          <cell r="A2515" t="str">
            <v/>
          </cell>
        </row>
        <row r="2516">
          <cell r="A2516" t="str">
            <v/>
          </cell>
        </row>
        <row r="2517">
          <cell r="A2517" t="str">
            <v/>
          </cell>
        </row>
        <row r="2518">
          <cell r="A2518" t="str">
            <v/>
          </cell>
        </row>
        <row r="2519">
          <cell r="A2519" t="str">
            <v/>
          </cell>
        </row>
        <row r="2520">
          <cell r="A2520" t="str">
            <v/>
          </cell>
        </row>
        <row r="2521">
          <cell r="A2521" t="str">
            <v/>
          </cell>
        </row>
        <row r="2522">
          <cell r="A2522" t="str">
            <v/>
          </cell>
        </row>
        <row r="2523">
          <cell r="A2523" t="str">
            <v/>
          </cell>
        </row>
        <row r="2524">
          <cell r="A2524" t="str">
            <v/>
          </cell>
        </row>
        <row r="2525">
          <cell r="A2525" t="str">
            <v/>
          </cell>
        </row>
        <row r="2526">
          <cell r="A2526" t="str">
            <v/>
          </cell>
        </row>
        <row r="2527">
          <cell r="A2527" t="str">
            <v/>
          </cell>
        </row>
        <row r="2528">
          <cell r="A2528" t="str">
            <v/>
          </cell>
        </row>
        <row r="2529">
          <cell r="A2529" t="str">
            <v/>
          </cell>
        </row>
        <row r="2530">
          <cell r="A2530" t="str">
            <v/>
          </cell>
        </row>
        <row r="2531">
          <cell r="A2531" t="str">
            <v/>
          </cell>
        </row>
        <row r="2532">
          <cell r="A2532" t="str">
            <v/>
          </cell>
        </row>
        <row r="2533">
          <cell r="A2533" t="str">
            <v/>
          </cell>
        </row>
        <row r="2534">
          <cell r="A2534" t="str">
            <v/>
          </cell>
        </row>
        <row r="2535">
          <cell r="A2535" t="str">
            <v/>
          </cell>
        </row>
        <row r="2536">
          <cell r="A2536" t="str">
            <v/>
          </cell>
        </row>
        <row r="2537">
          <cell r="A2537" t="str">
            <v/>
          </cell>
        </row>
        <row r="2538">
          <cell r="A2538" t="str">
            <v/>
          </cell>
        </row>
        <row r="2539">
          <cell r="A2539" t="str">
            <v/>
          </cell>
        </row>
        <row r="2540">
          <cell r="A2540" t="str">
            <v/>
          </cell>
        </row>
        <row r="2541">
          <cell r="A2541" t="str">
            <v/>
          </cell>
        </row>
        <row r="2542">
          <cell r="A2542" t="str">
            <v/>
          </cell>
        </row>
        <row r="2543">
          <cell r="A2543" t="str">
            <v/>
          </cell>
        </row>
        <row r="2544">
          <cell r="A2544" t="str">
            <v/>
          </cell>
        </row>
        <row r="2545">
          <cell r="A2545" t="str">
            <v/>
          </cell>
        </row>
        <row r="2546">
          <cell r="A2546" t="str">
            <v/>
          </cell>
        </row>
        <row r="2547">
          <cell r="A2547" t="str">
            <v/>
          </cell>
        </row>
        <row r="2548">
          <cell r="A2548" t="str">
            <v/>
          </cell>
        </row>
        <row r="2549">
          <cell r="A2549" t="str">
            <v/>
          </cell>
        </row>
        <row r="2550">
          <cell r="A2550" t="str">
            <v/>
          </cell>
        </row>
        <row r="2551">
          <cell r="A2551" t="str">
            <v/>
          </cell>
        </row>
        <row r="2552">
          <cell r="A2552" t="str">
            <v/>
          </cell>
        </row>
        <row r="2553">
          <cell r="A2553" t="str">
            <v/>
          </cell>
        </row>
        <row r="2554">
          <cell r="A2554" t="str">
            <v/>
          </cell>
        </row>
        <row r="2555">
          <cell r="A2555" t="str">
            <v/>
          </cell>
        </row>
        <row r="2556">
          <cell r="A2556" t="str">
            <v/>
          </cell>
        </row>
        <row r="2557">
          <cell r="A2557" t="str">
            <v/>
          </cell>
        </row>
        <row r="2558">
          <cell r="A2558" t="str">
            <v/>
          </cell>
        </row>
        <row r="2559">
          <cell r="A2559" t="str">
            <v/>
          </cell>
        </row>
        <row r="2560">
          <cell r="A2560" t="str">
            <v/>
          </cell>
        </row>
        <row r="2561">
          <cell r="A2561" t="str">
            <v/>
          </cell>
        </row>
        <row r="2562">
          <cell r="A2562" t="str">
            <v/>
          </cell>
        </row>
        <row r="2563">
          <cell r="A2563" t="str">
            <v/>
          </cell>
        </row>
        <row r="2564">
          <cell r="A2564" t="str">
            <v/>
          </cell>
        </row>
        <row r="2565">
          <cell r="A2565" t="str">
            <v/>
          </cell>
        </row>
        <row r="2566">
          <cell r="A2566" t="str">
            <v/>
          </cell>
        </row>
        <row r="2567">
          <cell r="A2567" t="str">
            <v/>
          </cell>
        </row>
        <row r="2568">
          <cell r="A2568" t="str">
            <v/>
          </cell>
        </row>
        <row r="2569">
          <cell r="A2569" t="str">
            <v/>
          </cell>
        </row>
        <row r="2570">
          <cell r="A2570" t="str">
            <v/>
          </cell>
        </row>
        <row r="2571">
          <cell r="A2571" t="str">
            <v/>
          </cell>
        </row>
        <row r="2572">
          <cell r="A2572" t="str">
            <v/>
          </cell>
        </row>
        <row r="2573">
          <cell r="A2573" t="str">
            <v/>
          </cell>
        </row>
        <row r="2574">
          <cell r="A2574" t="str">
            <v/>
          </cell>
        </row>
        <row r="2575">
          <cell r="A2575" t="str">
            <v/>
          </cell>
        </row>
        <row r="2576">
          <cell r="A2576" t="str">
            <v/>
          </cell>
        </row>
        <row r="2577">
          <cell r="A2577" t="str">
            <v/>
          </cell>
        </row>
        <row r="2578">
          <cell r="A2578" t="str">
            <v/>
          </cell>
        </row>
        <row r="2579">
          <cell r="A2579" t="str">
            <v/>
          </cell>
        </row>
        <row r="2580">
          <cell r="A2580" t="str">
            <v/>
          </cell>
        </row>
        <row r="2581">
          <cell r="A2581" t="str">
            <v/>
          </cell>
        </row>
        <row r="2582">
          <cell r="A2582" t="str">
            <v/>
          </cell>
        </row>
        <row r="2583">
          <cell r="A2583" t="str">
            <v/>
          </cell>
        </row>
        <row r="2584">
          <cell r="A2584" t="str">
            <v/>
          </cell>
        </row>
        <row r="2585">
          <cell r="A2585" t="str">
            <v/>
          </cell>
        </row>
        <row r="2586">
          <cell r="A2586" t="str">
            <v/>
          </cell>
        </row>
        <row r="2587">
          <cell r="A2587" t="str">
            <v/>
          </cell>
        </row>
        <row r="2588">
          <cell r="A2588" t="str">
            <v/>
          </cell>
        </row>
        <row r="2589">
          <cell r="A2589" t="str">
            <v/>
          </cell>
        </row>
        <row r="2590">
          <cell r="A2590" t="str">
            <v/>
          </cell>
        </row>
        <row r="2591">
          <cell r="A2591" t="str">
            <v/>
          </cell>
        </row>
        <row r="2592">
          <cell r="A2592" t="str">
            <v/>
          </cell>
        </row>
        <row r="2593">
          <cell r="A2593" t="str">
            <v/>
          </cell>
        </row>
        <row r="2594">
          <cell r="A2594" t="str">
            <v/>
          </cell>
        </row>
        <row r="2595">
          <cell r="A2595" t="str">
            <v/>
          </cell>
        </row>
        <row r="2596">
          <cell r="A2596" t="str">
            <v/>
          </cell>
        </row>
        <row r="2597">
          <cell r="A2597" t="str">
            <v/>
          </cell>
        </row>
        <row r="2598">
          <cell r="A2598" t="str">
            <v/>
          </cell>
        </row>
        <row r="2599">
          <cell r="A2599" t="str">
            <v/>
          </cell>
        </row>
        <row r="2600">
          <cell r="A2600" t="str">
            <v/>
          </cell>
        </row>
        <row r="2601">
          <cell r="A2601" t="str">
            <v/>
          </cell>
        </row>
        <row r="2602">
          <cell r="A2602" t="str">
            <v/>
          </cell>
        </row>
        <row r="2603">
          <cell r="A2603" t="str">
            <v/>
          </cell>
        </row>
        <row r="2604">
          <cell r="A2604" t="str">
            <v/>
          </cell>
        </row>
        <row r="2605">
          <cell r="A2605" t="str">
            <v/>
          </cell>
        </row>
        <row r="2606">
          <cell r="A2606" t="str">
            <v/>
          </cell>
        </row>
        <row r="2607">
          <cell r="A2607" t="str">
            <v/>
          </cell>
        </row>
        <row r="2608">
          <cell r="A2608" t="str">
            <v/>
          </cell>
        </row>
        <row r="2609">
          <cell r="A2609" t="str">
            <v/>
          </cell>
        </row>
        <row r="2610">
          <cell r="A2610" t="str">
            <v/>
          </cell>
        </row>
        <row r="2611">
          <cell r="A2611" t="str">
            <v/>
          </cell>
        </row>
        <row r="2612">
          <cell r="A2612" t="str">
            <v/>
          </cell>
        </row>
        <row r="2613">
          <cell r="A2613" t="str">
            <v/>
          </cell>
        </row>
        <row r="2614">
          <cell r="A2614" t="str">
            <v/>
          </cell>
        </row>
        <row r="2615">
          <cell r="A2615" t="str">
            <v/>
          </cell>
        </row>
        <row r="2616">
          <cell r="A2616" t="str">
            <v/>
          </cell>
        </row>
        <row r="2617">
          <cell r="A2617" t="str">
            <v/>
          </cell>
        </row>
        <row r="2618">
          <cell r="A2618" t="str">
            <v/>
          </cell>
        </row>
        <row r="2619">
          <cell r="A2619" t="str">
            <v/>
          </cell>
        </row>
        <row r="2620">
          <cell r="A2620" t="str">
            <v/>
          </cell>
        </row>
        <row r="2621">
          <cell r="A2621" t="str">
            <v/>
          </cell>
        </row>
        <row r="2622">
          <cell r="A2622" t="str">
            <v/>
          </cell>
        </row>
        <row r="2623">
          <cell r="A2623" t="str">
            <v/>
          </cell>
        </row>
        <row r="2624">
          <cell r="A2624" t="str">
            <v/>
          </cell>
        </row>
        <row r="2625">
          <cell r="A2625" t="str">
            <v/>
          </cell>
        </row>
        <row r="2626">
          <cell r="A2626" t="str">
            <v/>
          </cell>
        </row>
        <row r="2627">
          <cell r="A2627" t="str">
            <v/>
          </cell>
        </row>
        <row r="2628">
          <cell r="A2628" t="str">
            <v/>
          </cell>
        </row>
        <row r="2629">
          <cell r="A2629" t="str">
            <v/>
          </cell>
        </row>
        <row r="2630">
          <cell r="A2630" t="str">
            <v/>
          </cell>
        </row>
        <row r="2631">
          <cell r="A2631" t="str">
            <v/>
          </cell>
        </row>
        <row r="2632">
          <cell r="A2632" t="str">
            <v/>
          </cell>
        </row>
        <row r="2633">
          <cell r="A2633" t="str">
            <v/>
          </cell>
        </row>
        <row r="2634">
          <cell r="A2634" t="str">
            <v/>
          </cell>
        </row>
        <row r="2635">
          <cell r="A2635" t="str">
            <v/>
          </cell>
        </row>
        <row r="2636">
          <cell r="A2636" t="str">
            <v/>
          </cell>
        </row>
        <row r="2637">
          <cell r="A2637" t="str">
            <v/>
          </cell>
        </row>
        <row r="2638">
          <cell r="A2638" t="str">
            <v/>
          </cell>
        </row>
        <row r="2639">
          <cell r="A2639" t="str">
            <v/>
          </cell>
        </row>
        <row r="2640">
          <cell r="A2640" t="str">
            <v/>
          </cell>
        </row>
        <row r="2641">
          <cell r="A2641" t="str">
            <v/>
          </cell>
        </row>
        <row r="2642">
          <cell r="A2642" t="str">
            <v/>
          </cell>
        </row>
        <row r="2643">
          <cell r="A2643" t="str">
            <v/>
          </cell>
        </row>
        <row r="2644">
          <cell r="A2644" t="str">
            <v/>
          </cell>
        </row>
        <row r="2645">
          <cell r="A2645" t="str">
            <v/>
          </cell>
        </row>
        <row r="2646">
          <cell r="A2646" t="str">
            <v/>
          </cell>
        </row>
        <row r="2647">
          <cell r="A2647" t="str">
            <v/>
          </cell>
        </row>
        <row r="2648">
          <cell r="A2648" t="str">
            <v/>
          </cell>
        </row>
        <row r="2649">
          <cell r="A2649" t="str">
            <v/>
          </cell>
        </row>
        <row r="2650">
          <cell r="A2650" t="str">
            <v/>
          </cell>
        </row>
        <row r="2651">
          <cell r="A2651" t="str">
            <v/>
          </cell>
        </row>
        <row r="2652">
          <cell r="A2652" t="str">
            <v/>
          </cell>
        </row>
        <row r="2653">
          <cell r="A2653" t="str">
            <v/>
          </cell>
        </row>
        <row r="2654">
          <cell r="A2654" t="str">
            <v/>
          </cell>
        </row>
        <row r="2655">
          <cell r="A2655" t="str">
            <v/>
          </cell>
        </row>
        <row r="2656">
          <cell r="A2656" t="str">
            <v/>
          </cell>
        </row>
        <row r="2657">
          <cell r="A2657" t="str">
            <v/>
          </cell>
        </row>
        <row r="2658">
          <cell r="A2658" t="str">
            <v/>
          </cell>
        </row>
        <row r="2659">
          <cell r="A2659" t="str">
            <v/>
          </cell>
        </row>
        <row r="2660">
          <cell r="A2660" t="str">
            <v/>
          </cell>
        </row>
        <row r="2661">
          <cell r="A2661" t="str">
            <v/>
          </cell>
        </row>
        <row r="2662">
          <cell r="A2662" t="str">
            <v/>
          </cell>
        </row>
        <row r="2663">
          <cell r="A2663" t="str">
            <v/>
          </cell>
        </row>
        <row r="2664">
          <cell r="A2664" t="str">
            <v/>
          </cell>
        </row>
        <row r="2665">
          <cell r="A2665" t="str">
            <v/>
          </cell>
        </row>
        <row r="2666">
          <cell r="A2666" t="str">
            <v/>
          </cell>
        </row>
        <row r="2667">
          <cell r="A2667" t="str">
            <v/>
          </cell>
        </row>
        <row r="2668">
          <cell r="A2668" t="str">
            <v/>
          </cell>
        </row>
        <row r="2669">
          <cell r="A2669" t="str">
            <v/>
          </cell>
        </row>
        <row r="2670">
          <cell r="A2670" t="str">
            <v/>
          </cell>
        </row>
        <row r="2671">
          <cell r="A2671" t="str">
            <v/>
          </cell>
        </row>
        <row r="2672">
          <cell r="A2672" t="str">
            <v/>
          </cell>
        </row>
        <row r="2673">
          <cell r="A2673" t="str">
            <v/>
          </cell>
        </row>
        <row r="2674">
          <cell r="A2674" t="str">
            <v/>
          </cell>
        </row>
        <row r="2675">
          <cell r="A2675" t="str">
            <v/>
          </cell>
        </row>
        <row r="2676">
          <cell r="A2676" t="str">
            <v/>
          </cell>
        </row>
        <row r="2677">
          <cell r="A2677" t="str">
            <v/>
          </cell>
        </row>
        <row r="2678">
          <cell r="A2678" t="str">
            <v/>
          </cell>
        </row>
        <row r="2679">
          <cell r="A2679" t="str">
            <v/>
          </cell>
        </row>
        <row r="2680">
          <cell r="A2680" t="str">
            <v/>
          </cell>
        </row>
        <row r="2681">
          <cell r="A2681" t="str">
            <v/>
          </cell>
        </row>
        <row r="2682">
          <cell r="A2682" t="str">
            <v/>
          </cell>
        </row>
        <row r="2683">
          <cell r="A2683" t="str">
            <v/>
          </cell>
        </row>
        <row r="2684">
          <cell r="A2684" t="str">
            <v/>
          </cell>
        </row>
        <row r="2685">
          <cell r="A2685" t="str">
            <v/>
          </cell>
        </row>
        <row r="2686">
          <cell r="A2686" t="str">
            <v/>
          </cell>
        </row>
        <row r="2687">
          <cell r="A2687" t="str">
            <v/>
          </cell>
        </row>
        <row r="2688">
          <cell r="A2688" t="str">
            <v/>
          </cell>
        </row>
        <row r="2689">
          <cell r="A2689" t="str">
            <v/>
          </cell>
        </row>
        <row r="2690">
          <cell r="A2690" t="str">
            <v/>
          </cell>
        </row>
        <row r="2691">
          <cell r="A2691" t="str">
            <v/>
          </cell>
        </row>
        <row r="2692">
          <cell r="A2692" t="str">
            <v/>
          </cell>
        </row>
        <row r="2693">
          <cell r="A2693" t="str">
            <v/>
          </cell>
        </row>
        <row r="2694">
          <cell r="A2694" t="str">
            <v/>
          </cell>
        </row>
        <row r="2695">
          <cell r="A2695" t="str">
            <v/>
          </cell>
        </row>
        <row r="2696">
          <cell r="A2696" t="str">
            <v/>
          </cell>
        </row>
        <row r="2697">
          <cell r="A2697" t="str">
            <v/>
          </cell>
        </row>
        <row r="2698">
          <cell r="A2698" t="str">
            <v/>
          </cell>
        </row>
        <row r="2699">
          <cell r="A2699" t="str">
            <v/>
          </cell>
        </row>
        <row r="2700">
          <cell r="A2700" t="str">
            <v/>
          </cell>
        </row>
        <row r="2701">
          <cell r="A2701" t="str">
            <v/>
          </cell>
        </row>
        <row r="2702">
          <cell r="A2702" t="str">
            <v/>
          </cell>
        </row>
        <row r="2703">
          <cell r="A2703" t="str">
            <v/>
          </cell>
        </row>
        <row r="2704">
          <cell r="A2704" t="str">
            <v/>
          </cell>
        </row>
        <row r="2705">
          <cell r="A2705" t="str">
            <v/>
          </cell>
        </row>
        <row r="2706">
          <cell r="A2706" t="str">
            <v/>
          </cell>
        </row>
        <row r="2707">
          <cell r="A2707" t="str">
            <v/>
          </cell>
        </row>
        <row r="2708">
          <cell r="A2708" t="str">
            <v/>
          </cell>
        </row>
        <row r="2709">
          <cell r="A2709" t="str">
            <v/>
          </cell>
        </row>
        <row r="2710">
          <cell r="A2710" t="str">
            <v/>
          </cell>
        </row>
        <row r="2711">
          <cell r="A2711" t="str">
            <v/>
          </cell>
        </row>
        <row r="2712">
          <cell r="A2712" t="str">
            <v/>
          </cell>
        </row>
        <row r="2713">
          <cell r="A2713" t="str">
            <v/>
          </cell>
        </row>
        <row r="2714">
          <cell r="A2714" t="str">
            <v/>
          </cell>
        </row>
        <row r="2715">
          <cell r="A2715" t="str">
            <v/>
          </cell>
        </row>
        <row r="2716">
          <cell r="A2716" t="str">
            <v/>
          </cell>
        </row>
        <row r="2717">
          <cell r="A2717" t="str">
            <v/>
          </cell>
        </row>
        <row r="2718">
          <cell r="A2718" t="str">
            <v/>
          </cell>
        </row>
        <row r="2719">
          <cell r="A2719" t="str">
            <v/>
          </cell>
        </row>
        <row r="2720">
          <cell r="A2720" t="str">
            <v/>
          </cell>
        </row>
        <row r="2721">
          <cell r="A2721" t="str">
            <v/>
          </cell>
        </row>
        <row r="2722">
          <cell r="A2722" t="str">
            <v/>
          </cell>
        </row>
        <row r="2723">
          <cell r="A2723" t="str">
            <v/>
          </cell>
        </row>
        <row r="2724">
          <cell r="A2724" t="str">
            <v/>
          </cell>
        </row>
        <row r="2725">
          <cell r="A2725" t="str">
            <v/>
          </cell>
        </row>
        <row r="2726">
          <cell r="A2726" t="str">
            <v/>
          </cell>
        </row>
        <row r="2727">
          <cell r="A2727" t="str">
            <v/>
          </cell>
        </row>
        <row r="2728">
          <cell r="A2728" t="str">
            <v/>
          </cell>
        </row>
        <row r="2729">
          <cell r="A2729" t="str">
            <v/>
          </cell>
        </row>
        <row r="2730">
          <cell r="A2730" t="str">
            <v/>
          </cell>
        </row>
        <row r="2731">
          <cell r="A2731" t="str">
            <v/>
          </cell>
        </row>
        <row r="2732">
          <cell r="A2732" t="str">
            <v/>
          </cell>
        </row>
        <row r="2733">
          <cell r="A2733" t="str">
            <v/>
          </cell>
        </row>
        <row r="2734">
          <cell r="A2734" t="str">
            <v/>
          </cell>
        </row>
        <row r="2735">
          <cell r="A2735" t="str">
            <v/>
          </cell>
        </row>
        <row r="2736">
          <cell r="A2736" t="str">
            <v/>
          </cell>
        </row>
        <row r="2737">
          <cell r="A2737" t="str">
            <v/>
          </cell>
        </row>
        <row r="2738">
          <cell r="A2738" t="str">
            <v/>
          </cell>
        </row>
        <row r="2739">
          <cell r="A2739" t="str">
            <v/>
          </cell>
        </row>
        <row r="2740">
          <cell r="A2740" t="str">
            <v/>
          </cell>
        </row>
        <row r="2741">
          <cell r="A2741" t="str">
            <v/>
          </cell>
        </row>
        <row r="2742">
          <cell r="A2742" t="str">
            <v/>
          </cell>
        </row>
        <row r="2743">
          <cell r="A2743" t="str">
            <v/>
          </cell>
        </row>
        <row r="2744">
          <cell r="A2744" t="str">
            <v/>
          </cell>
        </row>
        <row r="2745">
          <cell r="A2745" t="str">
            <v/>
          </cell>
        </row>
        <row r="2746">
          <cell r="A2746" t="str">
            <v/>
          </cell>
        </row>
        <row r="2747">
          <cell r="A2747" t="str">
            <v/>
          </cell>
        </row>
        <row r="2748">
          <cell r="A2748" t="str">
            <v/>
          </cell>
        </row>
        <row r="2749">
          <cell r="A2749" t="str">
            <v/>
          </cell>
        </row>
        <row r="2750">
          <cell r="A2750" t="str">
            <v/>
          </cell>
        </row>
        <row r="2751">
          <cell r="A2751" t="str">
            <v/>
          </cell>
        </row>
        <row r="2752">
          <cell r="A2752" t="str">
            <v/>
          </cell>
        </row>
        <row r="2753">
          <cell r="A2753" t="str">
            <v/>
          </cell>
        </row>
        <row r="2754">
          <cell r="A2754" t="str">
            <v/>
          </cell>
        </row>
        <row r="2755">
          <cell r="A2755" t="str">
            <v/>
          </cell>
        </row>
        <row r="2756">
          <cell r="A2756" t="str">
            <v/>
          </cell>
        </row>
        <row r="2757">
          <cell r="A2757" t="str">
            <v/>
          </cell>
        </row>
        <row r="2758">
          <cell r="A2758" t="str">
            <v/>
          </cell>
        </row>
        <row r="2759">
          <cell r="A2759" t="str">
            <v/>
          </cell>
        </row>
        <row r="2760">
          <cell r="A2760" t="str">
            <v/>
          </cell>
        </row>
        <row r="2761">
          <cell r="A2761" t="str">
            <v/>
          </cell>
        </row>
        <row r="2762">
          <cell r="A2762" t="str">
            <v/>
          </cell>
        </row>
        <row r="2763">
          <cell r="A2763" t="str">
            <v/>
          </cell>
        </row>
        <row r="2764">
          <cell r="A2764" t="str">
            <v/>
          </cell>
        </row>
        <row r="2765">
          <cell r="A2765" t="str">
            <v/>
          </cell>
        </row>
        <row r="2766">
          <cell r="A2766" t="str">
            <v/>
          </cell>
        </row>
        <row r="2767">
          <cell r="A2767" t="str">
            <v/>
          </cell>
        </row>
        <row r="2768">
          <cell r="A2768" t="str">
            <v/>
          </cell>
        </row>
        <row r="2769">
          <cell r="A2769" t="str">
            <v/>
          </cell>
        </row>
        <row r="2770">
          <cell r="A2770" t="str">
            <v/>
          </cell>
        </row>
        <row r="2771">
          <cell r="A2771" t="str">
            <v/>
          </cell>
        </row>
        <row r="2772">
          <cell r="A2772" t="str">
            <v/>
          </cell>
        </row>
        <row r="2773">
          <cell r="A2773" t="str">
            <v/>
          </cell>
        </row>
        <row r="2774">
          <cell r="A2774" t="str">
            <v/>
          </cell>
        </row>
        <row r="2775">
          <cell r="A2775" t="str">
            <v/>
          </cell>
        </row>
        <row r="2776">
          <cell r="A2776" t="str">
            <v/>
          </cell>
        </row>
        <row r="2777">
          <cell r="A2777" t="str">
            <v/>
          </cell>
        </row>
        <row r="2778">
          <cell r="A2778" t="str">
            <v/>
          </cell>
        </row>
        <row r="2779">
          <cell r="A2779" t="str">
            <v/>
          </cell>
        </row>
        <row r="2780">
          <cell r="A2780" t="str">
            <v/>
          </cell>
        </row>
        <row r="2781">
          <cell r="A2781" t="str">
            <v/>
          </cell>
        </row>
        <row r="2782">
          <cell r="A2782" t="str">
            <v/>
          </cell>
        </row>
        <row r="2783">
          <cell r="A2783" t="str">
            <v/>
          </cell>
        </row>
        <row r="2784">
          <cell r="A2784" t="str">
            <v/>
          </cell>
        </row>
        <row r="2785">
          <cell r="A2785" t="str">
            <v/>
          </cell>
        </row>
        <row r="2786">
          <cell r="A2786" t="str">
            <v/>
          </cell>
        </row>
        <row r="2787">
          <cell r="A2787" t="str">
            <v/>
          </cell>
        </row>
        <row r="2788">
          <cell r="A2788" t="str">
            <v/>
          </cell>
        </row>
        <row r="2789">
          <cell r="A2789" t="str">
            <v/>
          </cell>
        </row>
        <row r="2790">
          <cell r="A2790" t="str">
            <v/>
          </cell>
        </row>
        <row r="2791">
          <cell r="A2791" t="str">
            <v/>
          </cell>
        </row>
        <row r="2792">
          <cell r="A2792" t="str">
            <v/>
          </cell>
        </row>
        <row r="2793">
          <cell r="A2793" t="str">
            <v/>
          </cell>
        </row>
        <row r="2794">
          <cell r="A2794" t="str">
            <v/>
          </cell>
        </row>
        <row r="2795">
          <cell r="A2795" t="str">
            <v/>
          </cell>
        </row>
        <row r="2796">
          <cell r="A2796" t="str">
            <v/>
          </cell>
        </row>
        <row r="2797">
          <cell r="A2797" t="str">
            <v/>
          </cell>
        </row>
        <row r="2798">
          <cell r="A2798" t="str">
            <v/>
          </cell>
        </row>
        <row r="2799">
          <cell r="A2799" t="str">
            <v/>
          </cell>
        </row>
        <row r="2800">
          <cell r="A2800" t="str">
            <v/>
          </cell>
        </row>
        <row r="2801">
          <cell r="A2801" t="str">
            <v/>
          </cell>
        </row>
        <row r="2802">
          <cell r="A2802" t="str">
            <v/>
          </cell>
        </row>
        <row r="2803">
          <cell r="A2803" t="str">
            <v/>
          </cell>
        </row>
        <row r="2804">
          <cell r="A2804" t="str">
            <v/>
          </cell>
        </row>
        <row r="2805">
          <cell r="A2805" t="str">
            <v/>
          </cell>
        </row>
        <row r="2806">
          <cell r="A2806" t="str">
            <v/>
          </cell>
        </row>
        <row r="2807">
          <cell r="A2807" t="str">
            <v/>
          </cell>
        </row>
        <row r="2808">
          <cell r="A2808" t="str">
            <v/>
          </cell>
        </row>
        <row r="2809">
          <cell r="A2809" t="str">
            <v/>
          </cell>
        </row>
        <row r="2810">
          <cell r="A2810" t="str">
            <v/>
          </cell>
        </row>
        <row r="2811">
          <cell r="A2811" t="str">
            <v/>
          </cell>
        </row>
        <row r="2812">
          <cell r="A2812" t="str">
            <v/>
          </cell>
        </row>
        <row r="2813">
          <cell r="A2813" t="str">
            <v/>
          </cell>
        </row>
        <row r="2814">
          <cell r="A2814" t="str">
            <v/>
          </cell>
        </row>
        <row r="2815">
          <cell r="A2815" t="str">
            <v/>
          </cell>
        </row>
        <row r="2816">
          <cell r="A2816" t="str">
            <v/>
          </cell>
        </row>
        <row r="2817">
          <cell r="A2817" t="str">
            <v/>
          </cell>
        </row>
        <row r="2818">
          <cell r="A2818" t="str">
            <v/>
          </cell>
        </row>
        <row r="2819">
          <cell r="A2819" t="str">
            <v/>
          </cell>
        </row>
        <row r="2820">
          <cell r="A2820" t="str">
            <v/>
          </cell>
        </row>
        <row r="2821">
          <cell r="A2821" t="str">
            <v/>
          </cell>
        </row>
        <row r="2822">
          <cell r="A2822" t="str">
            <v/>
          </cell>
        </row>
        <row r="2823">
          <cell r="A2823" t="str">
            <v/>
          </cell>
        </row>
        <row r="2824">
          <cell r="A2824" t="str">
            <v/>
          </cell>
        </row>
        <row r="2825">
          <cell r="A2825" t="str">
            <v/>
          </cell>
        </row>
        <row r="2826">
          <cell r="A2826" t="str">
            <v/>
          </cell>
        </row>
        <row r="2827">
          <cell r="A2827" t="str">
            <v/>
          </cell>
        </row>
        <row r="2828">
          <cell r="A2828" t="str">
            <v/>
          </cell>
        </row>
        <row r="2829">
          <cell r="A2829" t="str">
            <v/>
          </cell>
        </row>
        <row r="2830">
          <cell r="A2830" t="str">
            <v/>
          </cell>
        </row>
        <row r="2831">
          <cell r="A2831" t="str">
            <v/>
          </cell>
        </row>
        <row r="2832">
          <cell r="A2832" t="str">
            <v/>
          </cell>
        </row>
        <row r="2833">
          <cell r="A2833" t="str">
            <v/>
          </cell>
        </row>
        <row r="2834">
          <cell r="A2834" t="str">
            <v/>
          </cell>
        </row>
        <row r="2835">
          <cell r="A2835" t="str">
            <v/>
          </cell>
        </row>
        <row r="2836">
          <cell r="A2836" t="str">
            <v/>
          </cell>
        </row>
        <row r="2837">
          <cell r="A2837" t="str">
            <v/>
          </cell>
        </row>
        <row r="2838">
          <cell r="A2838" t="str">
            <v/>
          </cell>
        </row>
        <row r="2839">
          <cell r="A2839" t="str">
            <v/>
          </cell>
        </row>
        <row r="2840">
          <cell r="A2840" t="str">
            <v/>
          </cell>
        </row>
        <row r="2841">
          <cell r="A2841" t="str">
            <v/>
          </cell>
        </row>
        <row r="2842">
          <cell r="A2842" t="str">
            <v/>
          </cell>
        </row>
        <row r="2843">
          <cell r="A2843" t="str">
            <v/>
          </cell>
        </row>
        <row r="2844">
          <cell r="A2844" t="str">
            <v/>
          </cell>
        </row>
        <row r="2845">
          <cell r="A2845" t="str">
            <v/>
          </cell>
        </row>
        <row r="2846">
          <cell r="A2846" t="str">
            <v/>
          </cell>
        </row>
        <row r="2847">
          <cell r="A2847" t="str">
            <v/>
          </cell>
        </row>
        <row r="2848">
          <cell r="A2848" t="str">
            <v/>
          </cell>
        </row>
        <row r="2849">
          <cell r="A2849" t="str">
            <v/>
          </cell>
        </row>
        <row r="2850">
          <cell r="A2850" t="str">
            <v/>
          </cell>
        </row>
        <row r="2851">
          <cell r="A2851" t="str">
            <v/>
          </cell>
        </row>
        <row r="2852">
          <cell r="A2852" t="str">
            <v/>
          </cell>
        </row>
        <row r="2853">
          <cell r="A2853" t="str">
            <v/>
          </cell>
        </row>
        <row r="2854">
          <cell r="A2854" t="str">
            <v/>
          </cell>
        </row>
        <row r="2855">
          <cell r="A2855" t="str">
            <v/>
          </cell>
        </row>
        <row r="2856">
          <cell r="A2856" t="str">
            <v/>
          </cell>
        </row>
        <row r="2857">
          <cell r="A2857" t="str">
            <v/>
          </cell>
        </row>
        <row r="2858">
          <cell r="A2858" t="str">
            <v/>
          </cell>
        </row>
        <row r="2859">
          <cell r="A2859" t="str">
            <v/>
          </cell>
        </row>
        <row r="2860">
          <cell r="A2860" t="str">
            <v/>
          </cell>
        </row>
        <row r="2861">
          <cell r="A2861" t="str">
            <v/>
          </cell>
        </row>
        <row r="2862">
          <cell r="A2862" t="str">
            <v/>
          </cell>
        </row>
        <row r="2863">
          <cell r="A2863" t="str">
            <v/>
          </cell>
        </row>
        <row r="2864">
          <cell r="A2864" t="str">
            <v/>
          </cell>
        </row>
        <row r="2865">
          <cell r="A2865" t="str">
            <v/>
          </cell>
        </row>
        <row r="2866">
          <cell r="A2866" t="str">
            <v/>
          </cell>
        </row>
        <row r="2867">
          <cell r="A2867" t="str">
            <v/>
          </cell>
        </row>
        <row r="2868">
          <cell r="A2868" t="str">
            <v/>
          </cell>
        </row>
        <row r="2869">
          <cell r="A2869" t="str">
            <v/>
          </cell>
        </row>
        <row r="2870">
          <cell r="A2870" t="str">
            <v/>
          </cell>
        </row>
        <row r="2871">
          <cell r="A2871" t="str">
            <v/>
          </cell>
        </row>
        <row r="2872">
          <cell r="A2872" t="str">
            <v/>
          </cell>
        </row>
        <row r="2873">
          <cell r="A2873" t="str">
            <v/>
          </cell>
        </row>
        <row r="2874">
          <cell r="A2874" t="str">
            <v/>
          </cell>
        </row>
        <row r="2875">
          <cell r="A2875" t="str">
            <v/>
          </cell>
        </row>
        <row r="2876">
          <cell r="A2876" t="str">
            <v/>
          </cell>
        </row>
        <row r="2877">
          <cell r="A2877" t="str">
            <v/>
          </cell>
        </row>
        <row r="2878">
          <cell r="A2878" t="str">
            <v/>
          </cell>
        </row>
        <row r="2879">
          <cell r="A2879" t="str">
            <v/>
          </cell>
        </row>
        <row r="2880">
          <cell r="A2880" t="str">
            <v/>
          </cell>
        </row>
        <row r="2881">
          <cell r="A2881" t="str">
            <v/>
          </cell>
        </row>
        <row r="2882">
          <cell r="A2882" t="str">
            <v/>
          </cell>
        </row>
        <row r="2883">
          <cell r="A2883" t="str">
            <v/>
          </cell>
        </row>
        <row r="2884">
          <cell r="A2884" t="str">
            <v/>
          </cell>
        </row>
        <row r="2885">
          <cell r="A2885" t="str">
            <v/>
          </cell>
        </row>
        <row r="2886">
          <cell r="A2886" t="str">
            <v/>
          </cell>
        </row>
        <row r="2887">
          <cell r="A2887" t="str">
            <v/>
          </cell>
        </row>
        <row r="2888">
          <cell r="A2888" t="str">
            <v/>
          </cell>
        </row>
        <row r="2889">
          <cell r="A2889" t="str">
            <v/>
          </cell>
        </row>
        <row r="2890">
          <cell r="A2890" t="str">
            <v/>
          </cell>
        </row>
        <row r="2891">
          <cell r="A2891" t="str">
            <v/>
          </cell>
        </row>
        <row r="2892">
          <cell r="A2892" t="str">
            <v/>
          </cell>
        </row>
        <row r="2893">
          <cell r="A2893" t="str">
            <v/>
          </cell>
        </row>
        <row r="2894">
          <cell r="A2894" t="str">
            <v/>
          </cell>
        </row>
        <row r="2895">
          <cell r="A2895" t="str">
            <v/>
          </cell>
        </row>
        <row r="2896">
          <cell r="A2896" t="str">
            <v/>
          </cell>
        </row>
        <row r="2897">
          <cell r="A2897" t="str">
            <v/>
          </cell>
        </row>
        <row r="2898">
          <cell r="A2898" t="str">
            <v/>
          </cell>
        </row>
        <row r="2899">
          <cell r="A2899" t="str">
            <v/>
          </cell>
        </row>
        <row r="2900">
          <cell r="A2900" t="str">
            <v/>
          </cell>
        </row>
        <row r="2901">
          <cell r="A2901" t="str">
            <v/>
          </cell>
        </row>
        <row r="2902">
          <cell r="A2902" t="str">
            <v/>
          </cell>
        </row>
        <row r="2903">
          <cell r="A2903" t="str">
            <v/>
          </cell>
        </row>
        <row r="2904">
          <cell r="A2904" t="str">
            <v/>
          </cell>
        </row>
        <row r="2905">
          <cell r="A2905" t="str">
            <v/>
          </cell>
        </row>
        <row r="2906">
          <cell r="A2906" t="str">
            <v/>
          </cell>
        </row>
        <row r="2907">
          <cell r="A2907" t="str">
            <v/>
          </cell>
        </row>
        <row r="2908">
          <cell r="A2908" t="str">
            <v/>
          </cell>
        </row>
        <row r="2909">
          <cell r="A2909" t="str">
            <v/>
          </cell>
        </row>
        <row r="2910">
          <cell r="A2910" t="str">
            <v/>
          </cell>
        </row>
        <row r="2911">
          <cell r="A2911" t="str">
            <v/>
          </cell>
        </row>
        <row r="2912">
          <cell r="A2912" t="str">
            <v/>
          </cell>
        </row>
        <row r="2913">
          <cell r="A2913" t="str">
            <v/>
          </cell>
        </row>
        <row r="2914">
          <cell r="A2914" t="str">
            <v/>
          </cell>
        </row>
        <row r="2915">
          <cell r="A2915" t="str">
            <v/>
          </cell>
        </row>
        <row r="2916">
          <cell r="A2916" t="str">
            <v/>
          </cell>
        </row>
        <row r="2917">
          <cell r="A2917" t="str">
            <v/>
          </cell>
        </row>
        <row r="2918">
          <cell r="A2918" t="str">
            <v/>
          </cell>
        </row>
        <row r="2919">
          <cell r="A2919" t="str">
            <v/>
          </cell>
        </row>
        <row r="2920">
          <cell r="A2920" t="str">
            <v/>
          </cell>
        </row>
        <row r="2921">
          <cell r="A2921" t="str">
            <v/>
          </cell>
        </row>
        <row r="2922">
          <cell r="A2922" t="str">
            <v/>
          </cell>
        </row>
        <row r="2923">
          <cell r="A2923" t="str">
            <v/>
          </cell>
        </row>
        <row r="2924">
          <cell r="A2924" t="str">
            <v/>
          </cell>
        </row>
        <row r="2925">
          <cell r="A2925" t="str">
            <v/>
          </cell>
        </row>
        <row r="2926">
          <cell r="A2926" t="str">
            <v/>
          </cell>
        </row>
        <row r="2927">
          <cell r="A2927" t="str">
            <v/>
          </cell>
        </row>
        <row r="2928">
          <cell r="A2928" t="str">
            <v/>
          </cell>
        </row>
        <row r="2929">
          <cell r="A2929" t="str">
            <v/>
          </cell>
        </row>
        <row r="2930">
          <cell r="A2930" t="str">
            <v/>
          </cell>
        </row>
        <row r="2931">
          <cell r="A2931" t="str">
            <v/>
          </cell>
        </row>
        <row r="2932">
          <cell r="A2932" t="str">
            <v/>
          </cell>
        </row>
        <row r="2933">
          <cell r="A2933" t="str">
            <v/>
          </cell>
        </row>
        <row r="2934">
          <cell r="A2934" t="str">
            <v/>
          </cell>
        </row>
        <row r="2935">
          <cell r="A2935" t="str">
            <v/>
          </cell>
        </row>
        <row r="2936">
          <cell r="A2936" t="str">
            <v/>
          </cell>
        </row>
        <row r="2937">
          <cell r="A2937" t="str">
            <v/>
          </cell>
        </row>
        <row r="2938">
          <cell r="A2938" t="str">
            <v/>
          </cell>
        </row>
        <row r="2939">
          <cell r="A2939" t="str">
            <v/>
          </cell>
        </row>
        <row r="2940">
          <cell r="A2940" t="str">
            <v/>
          </cell>
        </row>
        <row r="2941">
          <cell r="A2941" t="str">
            <v/>
          </cell>
        </row>
        <row r="2942">
          <cell r="A2942" t="str">
            <v/>
          </cell>
        </row>
        <row r="2943">
          <cell r="A2943" t="str">
            <v/>
          </cell>
        </row>
        <row r="2944">
          <cell r="A2944" t="str">
            <v/>
          </cell>
        </row>
        <row r="2945">
          <cell r="A2945" t="str">
            <v/>
          </cell>
        </row>
        <row r="2946">
          <cell r="A2946" t="str">
            <v/>
          </cell>
        </row>
        <row r="2947">
          <cell r="A2947" t="str">
            <v/>
          </cell>
        </row>
        <row r="2948">
          <cell r="A2948" t="str">
            <v/>
          </cell>
        </row>
        <row r="2949">
          <cell r="A2949" t="str">
            <v/>
          </cell>
        </row>
        <row r="2950">
          <cell r="A2950" t="str">
            <v/>
          </cell>
        </row>
        <row r="2951">
          <cell r="A2951" t="str">
            <v/>
          </cell>
        </row>
        <row r="2952">
          <cell r="A2952" t="str">
            <v/>
          </cell>
        </row>
        <row r="2953">
          <cell r="A2953" t="str">
            <v/>
          </cell>
        </row>
        <row r="2954">
          <cell r="A2954" t="str">
            <v/>
          </cell>
        </row>
        <row r="2955">
          <cell r="A2955" t="str">
            <v/>
          </cell>
        </row>
        <row r="2956">
          <cell r="A2956" t="str">
            <v/>
          </cell>
        </row>
        <row r="2957">
          <cell r="A2957" t="str">
            <v/>
          </cell>
        </row>
        <row r="2958">
          <cell r="A2958" t="str">
            <v/>
          </cell>
        </row>
        <row r="2959">
          <cell r="A2959" t="str">
            <v/>
          </cell>
        </row>
        <row r="2960">
          <cell r="A2960" t="str">
            <v/>
          </cell>
        </row>
        <row r="2961">
          <cell r="A2961" t="str">
            <v/>
          </cell>
        </row>
        <row r="2962">
          <cell r="A2962" t="str">
            <v/>
          </cell>
        </row>
        <row r="2963">
          <cell r="A2963" t="str">
            <v/>
          </cell>
        </row>
        <row r="2964">
          <cell r="A2964" t="str">
            <v/>
          </cell>
        </row>
        <row r="2965">
          <cell r="A2965" t="str">
            <v/>
          </cell>
        </row>
        <row r="2966">
          <cell r="A2966" t="str">
            <v/>
          </cell>
        </row>
        <row r="2967">
          <cell r="A2967" t="str">
            <v/>
          </cell>
        </row>
        <row r="2968">
          <cell r="A2968" t="str">
            <v/>
          </cell>
        </row>
        <row r="2969">
          <cell r="A2969" t="str">
            <v/>
          </cell>
        </row>
        <row r="2970">
          <cell r="A2970" t="str">
            <v/>
          </cell>
        </row>
        <row r="2971">
          <cell r="A2971" t="str">
            <v/>
          </cell>
        </row>
        <row r="2972">
          <cell r="A2972" t="str">
            <v/>
          </cell>
        </row>
        <row r="2973">
          <cell r="A2973" t="str">
            <v/>
          </cell>
        </row>
        <row r="2974">
          <cell r="A2974" t="str">
            <v/>
          </cell>
        </row>
        <row r="2975">
          <cell r="A2975" t="str">
            <v/>
          </cell>
        </row>
        <row r="2976">
          <cell r="A2976" t="str">
            <v/>
          </cell>
        </row>
        <row r="2977">
          <cell r="A2977" t="str">
            <v/>
          </cell>
        </row>
        <row r="2978">
          <cell r="A2978" t="str">
            <v/>
          </cell>
        </row>
        <row r="2979">
          <cell r="A2979" t="str">
            <v/>
          </cell>
        </row>
        <row r="2980">
          <cell r="A2980" t="str">
            <v/>
          </cell>
        </row>
        <row r="2981">
          <cell r="A2981" t="str">
            <v/>
          </cell>
        </row>
        <row r="2982">
          <cell r="A2982" t="str">
            <v/>
          </cell>
        </row>
        <row r="2983">
          <cell r="A2983" t="str">
            <v/>
          </cell>
        </row>
        <row r="2984">
          <cell r="A2984" t="str">
            <v/>
          </cell>
        </row>
        <row r="2985">
          <cell r="A2985" t="str">
            <v/>
          </cell>
        </row>
        <row r="2986">
          <cell r="A2986" t="str">
            <v/>
          </cell>
        </row>
        <row r="2987">
          <cell r="A2987" t="str">
            <v/>
          </cell>
        </row>
        <row r="2988">
          <cell r="A2988" t="str">
            <v/>
          </cell>
        </row>
        <row r="2989">
          <cell r="A2989" t="str">
            <v/>
          </cell>
        </row>
        <row r="2990">
          <cell r="A2990" t="str">
            <v/>
          </cell>
        </row>
        <row r="2991">
          <cell r="A2991" t="str">
            <v/>
          </cell>
        </row>
        <row r="2992">
          <cell r="A2992" t="str">
            <v/>
          </cell>
        </row>
        <row r="2993">
          <cell r="A2993" t="str">
            <v/>
          </cell>
        </row>
        <row r="2994">
          <cell r="A2994" t="str">
            <v/>
          </cell>
        </row>
        <row r="2995">
          <cell r="A2995" t="str">
            <v/>
          </cell>
        </row>
        <row r="2996">
          <cell r="A2996" t="str">
            <v/>
          </cell>
        </row>
        <row r="2997">
          <cell r="A2997" t="str">
            <v/>
          </cell>
        </row>
        <row r="2998">
          <cell r="A2998" t="str">
            <v/>
          </cell>
        </row>
        <row r="2999">
          <cell r="A2999" t="str">
            <v/>
          </cell>
        </row>
        <row r="3000">
          <cell r="A3000" t="str">
            <v/>
          </cell>
        </row>
        <row r="3001">
          <cell r="A3001" t="str">
            <v/>
          </cell>
        </row>
        <row r="3002">
          <cell r="A3002" t="str">
            <v/>
          </cell>
        </row>
        <row r="3003">
          <cell r="A3003" t="str">
            <v/>
          </cell>
        </row>
        <row r="3004">
          <cell r="A3004" t="str">
            <v/>
          </cell>
        </row>
        <row r="3005">
          <cell r="A3005" t="str">
            <v/>
          </cell>
        </row>
        <row r="3006">
          <cell r="A3006" t="str">
            <v/>
          </cell>
        </row>
        <row r="3007">
          <cell r="A3007" t="str">
            <v/>
          </cell>
        </row>
        <row r="3008">
          <cell r="A3008" t="str">
            <v/>
          </cell>
        </row>
        <row r="3009">
          <cell r="A3009" t="str">
            <v/>
          </cell>
        </row>
        <row r="3010">
          <cell r="A3010" t="str">
            <v/>
          </cell>
        </row>
        <row r="3011">
          <cell r="A3011" t="str">
            <v/>
          </cell>
        </row>
        <row r="3012">
          <cell r="A3012" t="str">
            <v/>
          </cell>
        </row>
        <row r="3013">
          <cell r="A3013" t="str">
            <v/>
          </cell>
        </row>
        <row r="3014">
          <cell r="A3014" t="str">
            <v/>
          </cell>
        </row>
        <row r="3015">
          <cell r="A3015" t="str">
            <v/>
          </cell>
        </row>
        <row r="3016">
          <cell r="A3016" t="str">
            <v/>
          </cell>
        </row>
        <row r="3017">
          <cell r="A3017" t="str">
            <v/>
          </cell>
        </row>
        <row r="3018">
          <cell r="A3018" t="str">
            <v/>
          </cell>
        </row>
        <row r="3019">
          <cell r="A3019" t="str">
            <v/>
          </cell>
        </row>
        <row r="3020">
          <cell r="A3020" t="str">
            <v/>
          </cell>
        </row>
        <row r="3021">
          <cell r="A3021" t="str">
            <v/>
          </cell>
        </row>
        <row r="3022">
          <cell r="A3022" t="str">
            <v/>
          </cell>
        </row>
        <row r="3023">
          <cell r="A3023" t="str">
            <v/>
          </cell>
        </row>
        <row r="3024">
          <cell r="A3024" t="str">
            <v/>
          </cell>
        </row>
        <row r="3025">
          <cell r="A3025" t="str">
            <v/>
          </cell>
        </row>
        <row r="3026">
          <cell r="A3026" t="str">
            <v/>
          </cell>
        </row>
        <row r="3027">
          <cell r="A3027" t="str">
            <v/>
          </cell>
        </row>
        <row r="3028">
          <cell r="A3028" t="str">
            <v/>
          </cell>
        </row>
        <row r="3029">
          <cell r="A3029" t="str">
            <v/>
          </cell>
        </row>
        <row r="3030">
          <cell r="A3030" t="str">
            <v/>
          </cell>
        </row>
        <row r="3031">
          <cell r="A3031" t="str">
            <v/>
          </cell>
        </row>
        <row r="3032">
          <cell r="A3032" t="str">
            <v/>
          </cell>
        </row>
        <row r="3033">
          <cell r="A3033" t="str">
            <v/>
          </cell>
        </row>
        <row r="3034">
          <cell r="A3034" t="str">
            <v/>
          </cell>
        </row>
        <row r="3035">
          <cell r="A3035" t="str">
            <v/>
          </cell>
        </row>
        <row r="3036">
          <cell r="A3036" t="str">
            <v/>
          </cell>
        </row>
        <row r="3037">
          <cell r="A3037" t="str">
            <v/>
          </cell>
        </row>
        <row r="3038">
          <cell r="A3038" t="str">
            <v/>
          </cell>
        </row>
        <row r="3039">
          <cell r="A3039" t="str">
            <v/>
          </cell>
        </row>
        <row r="3040">
          <cell r="A3040" t="str">
            <v/>
          </cell>
        </row>
        <row r="3041">
          <cell r="A3041" t="str">
            <v/>
          </cell>
        </row>
        <row r="3042">
          <cell r="A3042" t="str">
            <v/>
          </cell>
        </row>
        <row r="3043">
          <cell r="A3043" t="str">
            <v/>
          </cell>
        </row>
        <row r="3044">
          <cell r="A3044" t="str">
            <v/>
          </cell>
        </row>
        <row r="3045">
          <cell r="A3045" t="str">
            <v/>
          </cell>
        </row>
        <row r="3046">
          <cell r="A3046" t="str">
            <v/>
          </cell>
        </row>
        <row r="3047">
          <cell r="A3047" t="str">
            <v/>
          </cell>
        </row>
        <row r="3048">
          <cell r="A3048" t="str">
            <v/>
          </cell>
        </row>
        <row r="3049">
          <cell r="A3049" t="str">
            <v/>
          </cell>
        </row>
        <row r="3050">
          <cell r="A3050" t="str">
            <v/>
          </cell>
        </row>
        <row r="3051">
          <cell r="A3051" t="str">
            <v/>
          </cell>
        </row>
        <row r="3052">
          <cell r="A3052" t="str">
            <v/>
          </cell>
        </row>
        <row r="3053">
          <cell r="A3053" t="str">
            <v/>
          </cell>
        </row>
        <row r="3054">
          <cell r="A3054" t="str">
            <v/>
          </cell>
        </row>
        <row r="3055">
          <cell r="A3055" t="str">
            <v/>
          </cell>
        </row>
        <row r="3056">
          <cell r="A3056" t="str">
            <v/>
          </cell>
        </row>
        <row r="3057">
          <cell r="A3057" t="str">
            <v/>
          </cell>
        </row>
        <row r="3058">
          <cell r="A3058" t="str">
            <v/>
          </cell>
        </row>
        <row r="3059">
          <cell r="A3059" t="str">
            <v/>
          </cell>
        </row>
        <row r="3060">
          <cell r="A3060" t="str">
            <v/>
          </cell>
        </row>
        <row r="3061">
          <cell r="A3061" t="str">
            <v/>
          </cell>
        </row>
        <row r="3062">
          <cell r="A3062" t="str">
            <v/>
          </cell>
        </row>
        <row r="3063">
          <cell r="A3063" t="str">
            <v/>
          </cell>
        </row>
        <row r="3064">
          <cell r="A3064" t="str">
            <v/>
          </cell>
        </row>
        <row r="3065">
          <cell r="A3065" t="str">
            <v/>
          </cell>
        </row>
        <row r="3066">
          <cell r="A3066" t="str">
            <v/>
          </cell>
        </row>
        <row r="3067">
          <cell r="A3067" t="str">
            <v/>
          </cell>
        </row>
        <row r="3068">
          <cell r="A3068" t="str">
            <v/>
          </cell>
        </row>
        <row r="3069">
          <cell r="A3069" t="str">
            <v/>
          </cell>
        </row>
        <row r="3070">
          <cell r="A3070" t="str">
            <v/>
          </cell>
        </row>
        <row r="3071">
          <cell r="A3071" t="str">
            <v/>
          </cell>
        </row>
        <row r="3072">
          <cell r="A3072" t="str">
            <v/>
          </cell>
        </row>
        <row r="3073">
          <cell r="A3073" t="str">
            <v/>
          </cell>
        </row>
        <row r="3074">
          <cell r="A3074" t="str">
            <v/>
          </cell>
        </row>
        <row r="3075">
          <cell r="A3075" t="str">
            <v/>
          </cell>
        </row>
        <row r="3076">
          <cell r="A3076" t="str">
            <v/>
          </cell>
        </row>
        <row r="3077">
          <cell r="A3077" t="str">
            <v/>
          </cell>
        </row>
        <row r="3078">
          <cell r="A3078" t="str">
            <v/>
          </cell>
        </row>
        <row r="3079">
          <cell r="A3079" t="str">
            <v/>
          </cell>
        </row>
        <row r="3080">
          <cell r="A3080" t="str">
            <v/>
          </cell>
        </row>
        <row r="3081">
          <cell r="A3081" t="str">
            <v/>
          </cell>
        </row>
        <row r="3082">
          <cell r="A3082" t="str">
            <v/>
          </cell>
        </row>
        <row r="3083">
          <cell r="A3083" t="str">
            <v/>
          </cell>
        </row>
        <row r="3084">
          <cell r="A3084" t="str">
            <v/>
          </cell>
        </row>
        <row r="3085">
          <cell r="A3085" t="str">
            <v/>
          </cell>
        </row>
        <row r="3086">
          <cell r="A3086" t="str">
            <v/>
          </cell>
        </row>
        <row r="3087">
          <cell r="A3087" t="str">
            <v/>
          </cell>
        </row>
        <row r="3088">
          <cell r="A3088" t="str">
            <v/>
          </cell>
        </row>
        <row r="3089">
          <cell r="A3089" t="str">
            <v/>
          </cell>
        </row>
        <row r="3090">
          <cell r="A3090" t="str">
            <v/>
          </cell>
        </row>
        <row r="3091">
          <cell r="A3091" t="str">
            <v/>
          </cell>
        </row>
        <row r="3092">
          <cell r="A3092" t="str">
            <v/>
          </cell>
        </row>
        <row r="3093">
          <cell r="A3093" t="str">
            <v/>
          </cell>
        </row>
        <row r="3094">
          <cell r="A3094" t="str">
            <v/>
          </cell>
        </row>
        <row r="3095">
          <cell r="A3095" t="str">
            <v/>
          </cell>
        </row>
        <row r="3096">
          <cell r="A3096" t="str">
            <v/>
          </cell>
        </row>
        <row r="3097">
          <cell r="A3097" t="str">
            <v/>
          </cell>
        </row>
        <row r="3098">
          <cell r="A3098" t="str">
            <v/>
          </cell>
        </row>
        <row r="3099">
          <cell r="A3099" t="str">
            <v/>
          </cell>
        </row>
        <row r="3100">
          <cell r="A3100" t="str">
            <v/>
          </cell>
        </row>
        <row r="3101">
          <cell r="A3101" t="str">
            <v/>
          </cell>
        </row>
        <row r="3102">
          <cell r="A3102" t="str">
            <v/>
          </cell>
        </row>
        <row r="3103">
          <cell r="A3103" t="str">
            <v/>
          </cell>
        </row>
        <row r="3104">
          <cell r="A3104" t="str">
            <v/>
          </cell>
        </row>
        <row r="3105">
          <cell r="A3105" t="str">
            <v/>
          </cell>
        </row>
        <row r="3106">
          <cell r="A3106" t="str">
            <v/>
          </cell>
        </row>
        <row r="3107">
          <cell r="A3107" t="str">
            <v/>
          </cell>
        </row>
        <row r="3108">
          <cell r="A3108" t="str">
            <v/>
          </cell>
        </row>
        <row r="3109">
          <cell r="A3109" t="str">
            <v/>
          </cell>
        </row>
        <row r="3110">
          <cell r="A3110" t="str">
            <v/>
          </cell>
        </row>
        <row r="3111">
          <cell r="A3111" t="str">
            <v/>
          </cell>
        </row>
        <row r="3112">
          <cell r="A3112" t="str">
            <v/>
          </cell>
        </row>
        <row r="3113">
          <cell r="A3113" t="str">
            <v/>
          </cell>
        </row>
        <row r="3114">
          <cell r="A3114" t="str">
            <v/>
          </cell>
        </row>
        <row r="3115">
          <cell r="A3115" t="str">
            <v/>
          </cell>
        </row>
        <row r="3116">
          <cell r="A3116" t="str">
            <v/>
          </cell>
        </row>
        <row r="3117">
          <cell r="A3117" t="str">
            <v/>
          </cell>
        </row>
        <row r="3118">
          <cell r="A3118" t="str">
            <v/>
          </cell>
        </row>
        <row r="3119">
          <cell r="A3119" t="str">
            <v/>
          </cell>
        </row>
        <row r="3120">
          <cell r="A3120" t="str">
            <v/>
          </cell>
        </row>
        <row r="3121">
          <cell r="A3121" t="str">
            <v/>
          </cell>
        </row>
        <row r="3122">
          <cell r="A3122" t="str">
            <v/>
          </cell>
        </row>
        <row r="3123">
          <cell r="A3123" t="str">
            <v/>
          </cell>
        </row>
        <row r="3124">
          <cell r="A3124" t="str">
            <v/>
          </cell>
        </row>
        <row r="3125">
          <cell r="A3125" t="str">
            <v/>
          </cell>
        </row>
        <row r="3126">
          <cell r="A3126" t="str">
            <v/>
          </cell>
        </row>
        <row r="3127">
          <cell r="A3127" t="str">
            <v/>
          </cell>
        </row>
        <row r="3128">
          <cell r="A3128" t="str">
            <v/>
          </cell>
        </row>
        <row r="3129">
          <cell r="A3129" t="str">
            <v/>
          </cell>
        </row>
        <row r="3130">
          <cell r="A3130" t="str">
            <v/>
          </cell>
        </row>
        <row r="3131">
          <cell r="A3131" t="str">
            <v/>
          </cell>
        </row>
        <row r="3132">
          <cell r="A3132" t="str">
            <v/>
          </cell>
        </row>
        <row r="3133">
          <cell r="A3133" t="str">
            <v/>
          </cell>
        </row>
        <row r="3134">
          <cell r="A3134" t="str">
            <v/>
          </cell>
        </row>
        <row r="3135">
          <cell r="A3135" t="str">
            <v/>
          </cell>
        </row>
        <row r="3136">
          <cell r="A3136" t="str">
            <v/>
          </cell>
        </row>
        <row r="3137">
          <cell r="A3137" t="str">
            <v/>
          </cell>
        </row>
        <row r="3138">
          <cell r="A3138" t="str">
            <v/>
          </cell>
        </row>
        <row r="3139">
          <cell r="A3139" t="str">
            <v/>
          </cell>
        </row>
        <row r="3140">
          <cell r="A3140" t="str">
            <v/>
          </cell>
        </row>
        <row r="3141">
          <cell r="A3141" t="str">
            <v/>
          </cell>
        </row>
        <row r="3142">
          <cell r="A3142" t="str">
            <v/>
          </cell>
        </row>
        <row r="3143">
          <cell r="A3143" t="str">
            <v/>
          </cell>
        </row>
        <row r="3144">
          <cell r="A3144" t="str">
            <v/>
          </cell>
        </row>
        <row r="3145">
          <cell r="A3145" t="str">
            <v/>
          </cell>
        </row>
        <row r="3146">
          <cell r="A3146" t="str">
            <v/>
          </cell>
        </row>
        <row r="3147">
          <cell r="A3147" t="str">
            <v/>
          </cell>
        </row>
        <row r="3148">
          <cell r="A3148" t="str">
            <v/>
          </cell>
        </row>
        <row r="3149">
          <cell r="A3149" t="str">
            <v/>
          </cell>
        </row>
        <row r="3150">
          <cell r="A3150" t="str">
            <v/>
          </cell>
        </row>
        <row r="3151">
          <cell r="A3151" t="str">
            <v/>
          </cell>
        </row>
        <row r="3152">
          <cell r="A3152" t="str">
            <v/>
          </cell>
        </row>
        <row r="3153">
          <cell r="A3153" t="str">
            <v/>
          </cell>
        </row>
        <row r="3154">
          <cell r="A3154" t="str">
            <v/>
          </cell>
        </row>
        <row r="3155">
          <cell r="A3155" t="str">
            <v/>
          </cell>
        </row>
        <row r="3156">
          <cell r="A3156" t="str">
            <v/>
          </cell>
        </row>
        <row r="3157">
          <cell r="A3157" t="str">
            <v/>
          </cell>
        </row>
        <row r="3158">
          <cell r="A3158" t="str">
            <v/>
          </cell>
        </row>
        <row r="3159">
          <cell r="A3159" t="str">
            <v/>
          </cell>
        </row>
        <row r="3160">
          <cell r="A3160" t="str">
            <v/>
          </cell>
        </row>
        <row r="3161">
          <cell r="A3161" t="str">
            <v/>
          </cell>
        </row>
        <row r="3162">
          <cell r="A3162" t="str">
            <v/>
          </cell>
        </row>
        <row r="3163">
          <cell r="A3163" t="str">
            <v/>
          </cell>
        </row>
        <row r="3164">
          <cell r="A3164" t="str">
            <v/>
          </cell>
        </row>
        <row r="3165">
          <cell r="A3165" t="str">
            <v/>
          </cell>
        </row>
        <row r="3166">
          <cell r="A3166" t="str">
            <v/>
          </cell>
        </row>
        <row r="3167">
          <cell r="A3167" t="str">
            <v/>
          </cell>
        </row>
        <row r="3168">
          <cell r="A3168" t="str">
            <v/>
          </cell>
        </row>
        <row r="3169">
          <cell r="A3169" t="str">
            <v/>
          </cell>
        </row>
        <row r="3170">
          <cell r="A3170" t="str">
            <v/>
          </cell>
        </row>
        <row r="3171">
          <cell r="A3171" t="str">
            <v/>
          </cell>
        </row>
        <row r="3172">
          <cell r="A3172" t="str">
            <v/>
          </cell>
        </row>
        <row r="3173">
          <cell r="A3173" t="str">
            <v/>
          </cell>
        </row>
        <row r="3174">
          <cell r="A3174" t="str">
            <v/>
          </cell>
        </row>
        <row r="3175">
          <cell r="A3175" t="str">
            <v/>
          </cell>
        </row>
        <row r="3176">
          <cell r="A3176" t="str">
            <v/>
          </cell>
        </row>
        <row r="3177">
          <cell r="A3177" t="str">
            <v/>
          </cell>
        </row>
        <row r="3178">
          <cell r="A3178" t="str">
            <v/>
          </cell>
        </row>
        <row r="3179">
          <cell r="A3179" t="str">
            <v/>
          </cell>
        </row>
        <row r="3180">
          <cell r="A3180" t="str">
            <v/>
          </cell>
        </row>
        <row r="3181">
          <cell r="A3181" t="str">
            <v/>
          </cell>
        </row>
        <row r="3182">
          <cell r="A3182" t="str">
            <v/>
          </cell>
        </row>
        <row r="3183">
          <cell r="A3183" t="str">
            <v/>
          </cell>
        </row>
        <row r="3184">
          <cell r="A3184" t="str">
            <v/>
          </cell>
        </row>
        <row r="3185">
          <cell r="A3185" t="str">
            <v/>
          </cell>
        </row>
        <row r="3186">
          <cell r="A3186" t="str">
            <v/>
          </cell>
        </row>
        <row r="3187">
          <cell r="A3187" t="str">
            <v/>
          </cell>
        </row>
        <row r="3188">
          <cell r="A3188" t="str">
            <v/>
          </cell>
        </row>
        <row r="3189">
          <cell r="A3189" t="str">
            <v/>
          </cell>
        </row>
        <row r="3190">
          <cell r="A3190" t="str">
            <v/>
          </cell>
        </row>
        <row r="3191">
          <cell r="A3191" t="str">
            <v/>
          </cell>
        </row>
        <row r="3192">
          <cell r="A3192" t="str">
            <v/>
          </cell>
        </row>
        <row r="3193">
          <cell r="A3193" t="str">
            <v/>
          </cell>
        </row>
        <row r="3194">
          <cell r="A3194" t="str">
            <v/>
          </cell>
        </row>
        <row r="3195">
          <cell r="A3195" t="str">
            <v/>
          </cell>
        </row>
        <row r="3196">
          <cell r="A3196" t="str">
            <v/>
          </cell>
        </row>
        <row r="3197">
          <cell r="A3197" t="str">
            <v/>
          </cell>
        </row>
        <row r="3198">
          <cell r="A3198" t="str">
            <v/>
          </cell>
        </row>
        <row r="3199">
          <cell r="A3199" t="str">
            <v/>
          </cell>
        </row>
        <row r="3200">
          <cell r="A3200" t="str">
            <v/>
          </cell>
        </row>
        <row r="3201">
          <cell r="A3201" t="str">
            <v/>
          </cell>
        </row>
        <row r="3202">
          <cell r="A3202" t="str">
            <v/>
          </cell>
        </row>
        <row r="3203">
          <cell r="A3203" t="str">
            <v/>
          </cell>
        </row>
        <row r="3204">
          <cell r="A3204" t="str">
            <v/>
          </cell>
        </row>
        <row r="3205">
          <cell r="A3205" t="str">
            <v/>
          </cell>
        </row>
        <row r="3206">
          <cell r="A3206" t="str">
            <v/>
          </cell>
        </row>
        <row r="3207">
          <cell r="A3207" t="str">
            <v/>
          </cell>
        </row>
        <row r="3208">
          <cell r="A3208" t="str">
            <v/>
          </cell>
        </row>
        <row r="3209">
          <cell r="A3209" t="str">
            <v/>
          </cell>
        </row>
        <row r="3210">
          <cell r="A3210" t="str">
            <v/>
          </cell>
        </row>
        <row r="3211">
          <cell r="A3211" t="str">
            <v/>
          </cell>
        </row>
        <row r="3212">
          <cell r="A3212" t="str">
            <v/>
          </cell>
        </row>
        <row r="3213">
          <cell r="A3213" t="str">
            <v/>
          </cell>
        </row>
        <row r="3214">
          <cell r="A3214" t="str">
            <v/>
          </cell>
        </row>
        <row r="3215">
          <cell r="A3215" t="str">
            <v/>
          </cell>
        </row>
        <row r="3216">
          <cell r="A3216" t="str">
            <v/>
          </cell>
        </row>
        <row r="3217">
          <cell r="A3217" t="str">
            <v/>
          </cell>
        </row>
        <row r="3218">
          <cell r="A3218" t="str">
            <v/>
          </cell>
        </row>
        <row r="3219">
          <cell r="A3219" t="str">
            <v/>
          </cell>
        </row>
        <row r="3220">
          <cell r="A3220" t="str">
            <v/>
          </cell>
        </row>
        <row r="3221">
          <cell r="A3221" t="str">
            <v/>
          </cell>
        </row>
        <row r="3222">
          <cell r="A3222" t="str">
            <v/>
          </cell>
        </row>
        <row r="3223">
          <cell r="A3223" t="str">
            <v/>
          </cell>
        </row>
        <row r="3224">
          <cell r="A3224" t="str">
            <v/>
          </cell>
        </row>
        <row r="3225">
          <cell r="A3225" t="str">
            <v/>
          </cell>
        </row>
        <row r="3226">
          <cell r="A3226" t="str">
            <v/>
          </cell>
        </row>
        <row r="3227">
          <cell r="A3227" t="str">
            <v/>
          </cell>
        </row>
        <row r="3228">
          <cell r="A3228" t="str">
            <v/>
          </cell>
        </row>
        <row r="3229">
          <cell r="A3229" t="str">
            <v/>
          </cell>
        </row>
        <row r="3230">
          <cell r="A3230" t="str">
            <v/>
          </cell>
          <cell r="AS3230" t="str">
            <v>-</v>
          </cell>
        </row>
        <row r="3231">
          <cell r="A3231" t="str">
            <v/>
          </cell>
          <cell r="AS3231" t="str">
            <v>-</v>
          </cell>
        </row>
        <row r="3232">
          <cell r="A3232" t="str">
            <v/>
          </cell>
          <cell r="AS3232" t="str">
            <v>-</v>
          </cell>
        </row>
        <row r="3233">
          <cell r="A3233" t="str">
            <v/>
          </cell>
          <cell r="AS3233" t="str">
            <v>-</v>
          </cell>
        </row>
        <row r="3234">
          <cell r="A3234" t="str">
            <v/>
          </cell>
          <cell r="AS3234" t="str">
            <v>-</v>
          </cell>
        </row>
        <row r="3235">
          <cell r="A3235" t="str">
            <v/>
          </cell>
          <cell r="AS3235" t="str">
            <v>-</v>
          </cell>
        </row>
        <row r="3236">
          <cell r="A3236" t="str">
            <v/>
          </cell>
          <cell r="AS3236" t="str">
            <v>-</v>
          </cell>
        </row>
        <row r="3237">
          <cell r="A3237" t="str">
            <v/>
          </cell>
          <cell r="AS3237" t="str">
            <v>-</v>
          </cell>
        </row>
        <row r="3238">
          <cell r="A3238" t="str">
            <v/>
          </cell>
          <cell r="AS3238" t="str">
            <v>-</v>
          </cell>
        </row>
        <row r="3239">
          <cell r="A3239" t="str">
            <v/>
          </cell>
          <cell r="AS3239" t="str">
            <v>-</v>
          </cell>
        </row>
        <row r="3240">
          <cell r="A3240" t="str">
            <v/>
          </cell>
          <cell r="AS3240" t="str">
            <v>-</v>
          </cell>
        </row>
        <row r="3241">
          <cell r="A3241" t="str">
            <v/>
          </cell>
          <cell r="AS3241" t="str">
            <v>-</v>
          </cell>
        </row>
        <row r="3242">
          <cell r="A3242" t="str">
            <v/>
          </cell>
          <cell r="AS3242" t="str">
            <v>-</v>
          </cell>
        </row>
        <row r="3243">
          <cell r="A3243" t="str">
            <v/>
          </cell>
          <cell r="AS3243" t="str">
            <v>-</v>
          </cell>
        </row>
        <row r="3244">
          <cell r="A3244" t="str">
            <v/>
          </cell>
          <cell r="AS3244" t="str">
            <v>-</v>
          </cell>
        </row>
        <row r="3245">
          <cell r="A3245" t="str">
            <v/>
          </cell>
          <cell r="AS3245" t="str">
            <v>-</v>
          </cell>
        </row>
        <row r="3246">
          <cell r="A3246" t="str">
            <v/>
          </cell>
          <cell r="AS3246" t="str">
            <v>-</v>
          </cell>
        </row>
        <row r="3247">
          <cell r="A3247" t="str">
            <v/>
          </cell>
          <cell r="AS3247" t="str">
            <v>-</v>
          </cell>
        </row>
        <row r="3248">
          <cell r="A3248" t="str">
            <v/>
          </cell>
          <cell r="AS3248" t="str">
            <v>-</v>
          </cell>
        </row>
        <row r="3249">
          <cell r="A3249" t="str">
            <v/>
          </cell>
          <cell r="AS3249" t="str">
            <v>-</v>
          </cell>
        </row>
        <row r="3250">
          <cell r="A3250" t="str">
            <v/>
          </cell>
          <cell r="AS3250" t="str">
            <v>-</v>
          </cell>
        </row>
        <row r="3251">
          <cell r="A3251" t="str">
            <v/>
          </cell>
          <cell r="AS3251" t="str">
            <v>-</v>
          </cell>
        </row>
        <row r="3252">
          <cell r="A3252" t="str">
            <v/>
          </cell>
          <cell r="AS3252" t="str">
            <v>-</v>
          </cell>
        </row>
        <row r="3253">
          <cell r="A3253" t="str">
            <v/>
          </cell>
          <cell r="AS3253" t="str">
            <v>-</v>
          </cell>
        </row>
        <row r="3254">
          <cell r="A3254" t="str">
            <v/>
          </cell>
          <cell r="AS3254" t="str">
            <v>-</v>
          </cell>
        </row>
        <row r="3255">
          <cell r="A3255" t="str">
            <v/>
          </cell>
          <cell r="AS3255" t="str">
            <v>-</v>
          </cell>
        </row>
        <row r="3256">
          <cell r="A3256" t="str">
            <v/>
          </cell>
          <cell r="AS3256" t="str">
            <v>-</v>
          </cell>
        </row>
        <row r="3257">
          <cell r="A3257" t="str">
            <v/>
          </cell>
          <cell r="AS3257" t="str">
            <v>-</v>
          </cell>
        </row>
        <row r="3258">
          <cell r="A3258" t="str">
            <v/>
          </cell>
          <cell r="AS3258" t="str">
            <v>-</v>
          </cell>
        </row>
        <row r="3259">
          <cell r="A3259" t="str">
            <v/>
          </cell>
          <cell r="AS3259" t="str">
            <v>-</v>
          </cell>
        </row>
        <row r="3260">
          <cell r="A3260" t="str">
            <v/>
          </cell>
          <cell r="AS3260" t="str">
            <v>-</v>
          </cell>
        </row>
        <row r="3261">
          <cell r="A3261" t="str">
            <v/>
          </cell>
          <cell r="AS3261" t="str">
            <v>-</v>
          </cell>
        </row>
        <row r="3262">
          <cell r="A3262" t="str">
            <v/>
          </cell>
          <cell r="AS3262" t="str">
            <v>-</v>
          </cell>
        </row>
        <row r="3263">
          <cell r="A3263" t="str">
            <v/>
          </cell>
          <cell r="AS3263" t="str">
            <v>-</v>
          </cell>
        </row>
        <row r="3264">
          <cell r="A3264" t="str">
            <v/>
          </cell>
          <cell r="AS3264" t="str">
            <v>-</v>
          </cell>
        </row>
        <row r="3265">
          <cell r="A3265" t="str">
            <v/>
          </cell>
          <cell r="AS3265" t="str">
            <v>-</v>
          </cell>
        </row>
        <row r="3266">
          <cell r="A3266" t="str">
            <v/>
          </cell>
          <cell r="AS3266" t="str">
            <v>-</v>
          </cell>
        </row>
        <row r="3267">
          <cell r="A3267" t="str">
            <v/>
          </cell>
          <cell r="AS3267" t="str">
            <v>-</v>
          </cell>
        </row>
        <row r="3268">
          <cell r="A3268" t="str">
            <v/>
          </cell>
          <cell r="AS3268" t="str">
            <v>-</v>
          </cell>
        </row>
        <row r="3269">
          <cell r="A3269" t="str">
            <v/>
          </cell>
          <cell r="AS3269" t="str">
            <v>-</v>
          </cell>
        </row>
        <row r="3270">
          <cell r="A3270" t="str">
            <v/>
          </cell>
          <cell r="AS3270" t="str">
            <v>-</v>
          </cell>
        </row>
        <row r="3271">
          <cell r="A3271" t="str">
            <v/>
          </cell>
          <cell r="AS3271" t="str">
            <v>-</v>
          </cell>
        </row>
        <row r="3272">
          <cell r="A3272" t="str">
            <v/>
          </cell>
          <cell r="AS3272" t="str">
            <v>-</v>
          </cell>
        </row>
        <row r="3273">
          <cell r="A3273" t="str">
            <v/>
          </cell>
          <cell r="AS3273" t="str">
            <v>-</v>
          </cell>
        </row>
        <row r="3274">
          <cell r="A3274" t="str">
            <v/>
          </cell>
          <cell r="AS3274" t="str">
            <v>-</v>
          </cell>
        </row>
        <row r="3275">
          <cell r="A3275" t="str">
            <v/>
          </cell>
          <cell r="AS3275" t="str">
            <v>-</v>
          </cell>
        </row>
        <row r="3276">
          <cell r="A3276" t="str">
            <v/>
          </cell>
          <cell r="AS3276" t="str">
            <v>-</v>
          </cell>
        </row>
        <row r="3277">
          <cell r="A3277" t="str">
            <v/>
          </cell>
          <cell r="AS3277" t="str">
            <v>-</v>
          </cell>
        </row>
        <row r="3278">
          <cell r="A3278" t="str">
            <v/>
          </cell>
          <cell r="AS3278" t="str">
            <v>-</v>
          </cell>
        </row>
        <row r="3279">
          <cell r="A3279" t="str">
            <v/>
          </cell>
          <cell r="AS3279" t="str">
            <v>-</v>
          </cell>
        </row>
        <row r="3280">
          <cell r="A3280" t="str">
            <v/>
          </cell>
          <cell r="AS3280" t="str">
            <v>-</v>
          </cell>
        </row>
        <row r="3281">
          <cell r="A3281" t="str">
            <v/>
          </cell>
          <cell r="AS3281" t="str">
            <v>-</v>
          </cell>
        </row>
        <row r="3282">
          <cell r="A3282" t="str">
            <v/>
          </cell>
          <cell r="AS3282" t="str">
            <v>-</v>
          </cell>
        </row>
        <row r="3283">
          <cell r="A3283" t="str">
            <v/>
          </cell>
          <cell r="AS3283" t="str">
            <v>-</v>
          </cell>
        </row>
        <row r="3284">
          <cell r="A3284" t="str">
            <v/>
          </cell>
          <cell r="AS3284" t="str">
            <v>-</v>
          </cell>
        </row>
        <row r="3285">
          <cell r="A3285" t="str">
            <v/>
          </cell>
          <cell r="AS3285" t="str">
            <v>-</v>
          </cell>
        </row>
        <row r="3286">
          <cell r="A3286" t="str">
            <v/>
          </cell>
          <cell r="AS3286" t="str">
            <v>-</v>
          </cell>
        </row>
        <row r="3287">
          <cell r="A3287" t="str">
            <v/>
          </cell>
          <cell r="AS3287" t="str">
            <v>-</v>
          </cell>
        </row>
        <row r="3288">
          <cell r="A3288" t="str">
            <v/>
          </cell>
          <cell r="AS3288" t="str">
            <v>-</v>
          </cell>
        </row>
        <row r="3289">
          <cell r="A3289" t="str">
            <v/>
          </cell>
          <cell r="AS3289" t="str">
            <v>-</v>
          </cell>
        </row>
        <row r="3290">
          <cell r="A3290" t="str">
            <v/>
          </cell>
          <cell r="AS3290" t="str">
            <v>-</v>
          </cell>
        </row>
        <row r="3291">
          <cell r="A3291" t="str">
            <v/>
          </cell>
          <cell r="AS3291" t="str">
            <v>-</v>
          </cell>
        </row>
        <row r="3292">
          <cell r="A3292" t="str">
            <v/>
          </cell>
          <cell r="AS3292" t="str">
            <v>-</v>
          </cell>
        </row>
        <row r="3293">
          <cell r="A3293" t="str">
            <v/>
          </cell>
          <cell r="AS3293" t="str">
            <v>-</v>
          </cell>
        </row>
        <row r="3294">
          <cell r="A3294" t="str">
            <v/>
          </cell>
          <cell r="AS3294" t="str">
            <v>-</v>
          </cell>
        </row>
        <row r="3295">
          <cell r="A3295" t="str">
            <v/>
          </cell>
          <cell r="AS3295" t="str">
            <v>-</v>
          </cell>
        </row>
        <row r="3296">
          <cell r="A3296" t="str">
            <v/>
          </cell>
          <cell r="AS3296" t="str">
            <v>-</v>
          </cell>
        </row>
        <row r="3297">
          <cell r="A3297" t="str">
            <v/>
          </cell>
          <cell r="AS3297" t="str">
            <v>-</v>
          </cell>
        </row>
        <row r="3298">
          <cell r="A3298" t="str">
            <v/>
          </cell>
          <cell r="AS3298" t="str">
            <v>-</v>
          </cell>
        </row>
        <row r="3299">
          <cell r="A3299" t="str">
            <v/>
          </cell>
          <cell r="AS3299" t="str">
            <v>-</v>
          </cell>
        </row>
        <row r="3300">
          <cell r="A3300" t="str">
            <v/>
          </cell>
          <cell r="AS3300" t="str">
            <v>-</v>
          </cell>
        </row>
        <row r="3301">
          <cell r="A3301" t="str">
            <v/>
          </cell>
          <cell r="AS3301" t="str">
            <v>-</v>
          </cell>
        </row>
        <row r="3302">
          <cell r="A3302" t="str">
            <v/>
          </cell>
          <cell r="AS3302" t="str">
            <v>-</v>
          </cell>
        </row>
        <row r="3303">
          <cell r="A3303" t="str">
            <v/>
          </cell>
          <cell r="AS3303" t="str">
            <v>-</v>
          </cell>
        </row>
        <row r="3304">
          <cell r="A3304" t="str">
            <v/>
          </cell>
          <cell r="AS3304" t="str">
            <v>-</v>
          </cell>
        </row>
        <row r="3305">
          <cell r="A3305" t="str">
            <v/>
          </cell>
          <cell r="AS3305" t="str">
            <v>-</v>
          </cell>
        </row>
        <row r="3306">
          <cell r="A3306" t="str">
            <v/>
          </cell>
          <cell r="AS3306" t="str">
            <v>-</v>
          </cell>
        </row>
        <row r="3307">
          <cell r="A3307" t="str">
            <v/>
          </cell>
          <cell r="AS3307" t="str">
            <v>-</v>
          </cell>
        </row>
        <row r="3308">
          <cell r="A3308" t="str">
            <v/>
          </cell>
          <cell r="AS3308" t="str">
            <v>-</v>
          </cell>
        </row>
        <row r="3309">
          <cell r="A3309" t="str">
            <v/>
          </cell>
          <cell r="AS3309" t="str">
            <v>-</v>
          </cell>
        </row>
        <row r="3310">
          <cell r="A3310" t="str">
            <v/>
          </cell>
          <cell r="AS3310" t="str">
            <v>-</v>
          </cell>
        </row>
        <row r="3311">
          <cell r="A3311" t="str">
            <v/>
          </cell>
          <cell r="AS3311" t="str">
            <v>-</v>
          </cell>
        </row>
        <row r="3312">
          <cell r="A3312" t="str">
            <v/>
          </cell>
          <cell r="AS3312" t="str">
            <v>-</v>
          </cell>
        </row>
        <row r="3313">
          <cell r="A3313" t="str">
            <v/>
          </cell>
          <cell r="AS3313" t="str">
            <v>-</v>
          </cell>
        </row>
        <row r="3314">
          <cell r="A3314" t="str">
            <v/>
          </cell>
          <cell r="AS3314" t="str">
            <v>-</v>
          </cell>
        </row>
        <row r="3315">
          <cell r="A3315" t="str">
            <v/>
          </cell>
          <cell r="AS3315" t="str">
            <v>-</v>
          </cell>
        </row>
        <row r="3316">
          <cell r="A3316" t="str">
            <v/>
          </cell>
          <cell r="AS3316" t="str">
            <v>-</v>
          </cell>
        </row>
        <row r="3317">
          <cell r="A3317" t="str">
            <v/>
          </cell>
          <cell r="AS3317" t="str">
            <v>-</v>
          </cell>
        </row>
        <row r="3318">
          <cell r="A3318" t="str">
            <v/>
          </cell>
          <cell r="AS3318" t="str">
            <v>-</v>
          </cell>
        </row>
        <row r="3319">
          <cell r="A3319" t="str">
            <v/>
          </cell>
          <cell r="AS3319" t="str">
            <v>-</v>
          </cell>
        </row>
        <row r="3320">
          <cell r="A3320" t="str">
            <v/>
          </cell>
          <cell r="AS3320" t="str">
            <v>-</v>
          </cell>
        </row>
        <row r="3321">
          <cell r="A3321" t="str">
            <v/>
          </cell>
          <cell r="AS3321" t="str">
            <v>-</v>
          </cell>
        </row>
        <row r="3322">
          <cell r="A3322" t="str">
            <v/>
          </cell>
          <cell r="AS3322" t="str">
            <v>-</v>
          </cell>
        </row>
        <row r="3323">
          <cell r="A3323" t="str">
            <v/>
          </cell>
          <cell r="AS3323" t="str">
            <v>-</v>
          </cell>
        </row>
        <row r="3324">
          <cell r="A3324" t="str">
            <v/>
          </cell>
          <cell r="AS3324" t="str">
            <v>-</v>
          </cell>
        </row>
        <row r="3325">
          <cell r="A3325" t="str">
            <v/>
          </cell>
          <cell r="AS3325" t="str">
            <v>-</v>
          </cell>
        </row>
        <row r="3326">
          <cell r="A3326" t="str">
            <v/>
          </cell>
          <cell r="AS3326" t="str">
            <v>-</v>
          </cell>
        </row>
        <row r="3327">
          <cell r="A3327" t="str">
            <v/>
          </cell>
          <cell r="AS3327" t="str">
            <v>-</v>
          </cell>
        </row>
        <row r="3328">
          <cell r="A3328" t="str">
            <v/>
          </cell>
          <cell r="AS3328" t="str">
            <v>-</v>
          </cell>
        </row>
        <row r="3329">
          <cell r="A3329" t="str">
            <v/>
          </cell>
          <cell r="AS3329" t="str">
            <v>-</v>
          </cell>
        </row>
        <row r="3330">
          <cell r="A3330" t="str">
            <v/>
          </cell>
          <cell r="AS3330" t="str">
            <v>-</v>
          </cell>
        </row>
        <row r="3331">
          <cell r="A3331" t="str">
            <v/>
          </cell>
          <cell r="AS3331" t="str">
            <v>-</v>
          </cell>
        </row>
        <row r="3332">
          <cell r="A3332" t="str">
            <v/>
          </cell>
          <cell r="AS3332" t="str">
            <v>-</v>
          </cell>
        </row>
        <row r="3333">
          <cell r="A3333" t="str">
            <v/>
          </cell>
          <cell r="AS3333" t="str">
            <v>-</v>
          </cell>
        </row>
        <row r="3334">
          <cell r="A3334" t="str">
            <v/>
          </cell>
          <cell r="AS3334" t="str">
            <v>-</v>
          </cell>
        </row>
        <row r="3335">
          <cell r="A3335" t="str">
            <v/>
          </cell>
          <cell r="AS3335" t="str">
            <v>-</v>
          </cell>
        </row>
        <row r="3336">
          <cell r="A3336" t="str">
            <v/>
          </cell>
          <cell r="AS3336" t="str">
            <v>-</v>
          </cell>
        </row>
        <row r="3337">
          <cell r="A3337" t="str">
            <v/>
          </cell>
          <cell r="AS3337" t="str">
            <v>-</v>
          </cell>
        </row>
        <row r="3338">
          <cell r="A3338" t="str">
            <v/>
          </cell>
          <cell r="AS3338" t="str">
            <v>-</v>
          </cell>
        </row>
        <row r="3339">
          <cell r="A3339" t="str">
            <v/>
          </cell>
          <cell r="AS3339" t="str">
            <v>-</v>
          </cell>
        </row>
        <row r="3340">
          <cell r="A3340" t="str">
            <v/>
          </cell>
          <cell r="AS3340" t="str">
            <v>-</v>
          </cell>
        </row>
        <row r="3341">
          <cell r="A3341" t="str">
            <v/>
          </cell>
          <cell r="AS3341" t="str">
            <v>-</v>
          </cell>
        </row>
        <row r="3342">
          <cell r="A3342" t="str">
            <v/>
          </cell>
          <cell r="AS3342" t="str">
            <v>-</v>
          </cell>
        </row>
        <row r="3343">
          <cell r="A3343" t="str">
            <v/>
          </cell>
          <cell r="AS3343" t="str">
            <v>-</v>
          </cell>
        </row>
        <row r="3344">
          <cell r="A3344" t="str">
            <v/>
          </cell>
          <cell r="AS3344" t="str">
            <v>-</v>
          </cell>
        </row>
        <row r="3345">
          <cell r="A3345" t="str">
            <v/>
          </cell>
          <cell r="AS3345" t="str">
            <v>-</v>
          </cell>
        </row>
        <row r="3346">
          <cell r="A3346" t="str">
            <v/>
          </cell>
          <cell r="AS3346" t="str">
            <v>-</v>
          </cell>
        </row>
        <row r="3347">
          <cell r="A3347" t="str">
            <v/>
          </cell>
          <cell r="AS3347" t="str">
            <v>-</v>
          </cell>
        </row>
        <row r="3348">
          <cell r="A3348" t="str">
            <v/>
          </cell>
          <cell r="AS3348" t="str">
            <v>-</v>
          </cell>
        </row>
        <row r="3349">
          <cell r="A3349" t="str">
            <v/>
          </cell>
          <cell r="AS3349" t="str">
            <v>-</v>
          </cell>
        </row>
        <row r="3350">
          <cell r="A3350" t="str">
            <v/>
          </cell>
          <cell r="AS3350" t="str">
            <v>-</v>
          </cell>
        </row>
        <row r="3351">
          <cell r="A3351" t="str">
            <v/>
          </cell>
          <cell r="AS3351" t="str">
            <v>-</v>
          </cell>
        </row>
        <row r="3352">
          <cell r="A3352" t="str">
            <v/>
          </cell>
          <cell r="AS3352" t="str">
            <v>-</v>
          </cell>
        </row>
        <row r="3353">
          <cell r="A3353" t="str">
            <v/>
          </cell>
          <cell r="AS3353" t="str">
            <v>-</v>
          </cell>
        </row>
        <row r="3354">
          <cell r="A3354" t="str">
            <v/>
          </cell>
          <cell r="AS3354" t="str">
            <v>-</v>
          </cell>
        </row>
        <row r="3355">
          <cell r="A3355" t="str">
            <v/>
          </cell>
          <cell r="AS3355" t="str">
            <v>-</v>
          </cell>
        </row>
        <row r="3356">
          <cell r="A3356" t="str">
            <v/>
          </cell>
          <cell r="AS3356" t="str">
            <v>-</v>
          </cell>
        </row>
        <row r="3357">
          <cell r="A3357" t="str">
            <v/>
          </cell>
          <cell r="AS3357" t="str">
            <v>-</v>
          </cell>
        </row>
        <row r="3358">
          <cell r="A3358" t="str">
            <v/>
          </cell>
          <cell r="AS3358" t="str">
            <v>-</v>
          </cell>
        </row>
        <row r="3359">
          <cell r="A3359" t="str">
            <v/>
          </cell>
          <cell r="AS3359" t="str">
            <v>-</v>
          </cell>
        </row>
        <row r="3360">
          <cell r="A3360" t="str">
            <v/>
          </cell>
          <cell r="AS3360" t="str">
            <v>-</v>
          </cell>
        </row>
        <row r="3361">
          <cell r="A3361" t="str">
            <v/>
          </cell>
          <cell r="AS3361" t="str">
            <v>-</v>
          </cell>
        </row>
        <row r="3362">
          <cell r="A3362" t="str">
            <v/>
          </cell>
          <cell r="AS3362" t="str">
            <v>-</v>
          </cell>
        </row>
        <row r="3363">
          <cell r="A3363" t="str">
            <v/>
          </cell>
          <cell r="AS3363" t="str">
            <v>-</v>
          </cell>
        </row>
        <row r="3364">
          <cell r="A3364" t="str">
            <v/>
          </cell>
          <cell r="AS3364" t="str">
            <v>-</v>
          </cell>
        </row>
        <row r="3365">
          <cell r="A3365" t="str">
            <v/>
          </cell>
          <cell r="AS3365" t="str">
            <v>-</v>
          </cell>
        </row>
        <row r="3366">
          <cell r="A3366" t="str">
            <v/>
          </cell>
          <cell r="AS3366" t="str">
            <v>-</v>
          </cell>
        </row>
        <row r="3367">
          <cell r="A3367" t="str">
            <v/>
          </cell>
          <cell r="AS3367" t="str">
            <v>-</v>
          </cell>
        </row>
        <row r="3368">
          <cell r="A3368" t="str">
            <v/>
          </cell>
          <cell r="AS3368" t="str">
            <v>-</v>
          </cell>
        </row>
        <row r="3369">
          <cell r="A3369" t="str">
            <v/>
          </cell>
          <cell r="AS3369" t="str">
            <v>-</v>
          </cell>
        </row>
        <row r="3370">
          <cell r="A3370" t="str">
            <v/>
          </cell>
          <cell r="AS3370" t="str">
            <v>-</v>
          </cell>
        </row>
        <row r="3371">
          <cell r="A3371" t="str">
            <v/>
          </cell>
          <cell r="AS3371" t="str">
            <v>-</v>
          </cell>
        </row>
        <row r="3372">
          <cell r="A3372" t="str">
            <v/>
          </cell>
          <cell r="AS3372" t="str">
            <v>-</v>
          </cell>
        </row>
        <row r="3373">
          <cell r="A3373" t="str">
            <v/>
          </cell>
          <cell r="AS3373" t="str">
            <v>-</v>
          </cell>
        </row>
        <row r="3374">
          <cell r="A3374" t="str">
            <v/>
          </cell>
          <cell r="AS3374" t="str">
            <v>-</v>
          </cell>
        </row>
        <row r="3375">
          <cell r="A3375" t="str">
            <v/>
          </cell>
          <cell r="AS3375" t="str">
            <v>-</v>
          </cell>
        </row>
        <row r="3376">
          <cell r="A3376" t="str">
            <v/>
          </cell>
          <cell r="AS3376" t="str">
            <v>-</v>
          </cell>
        </row>
        <row r="3377">
          <cell r="A3377" t="str">
            <v/>
          </cell>
          <cell r="AS3377" t="str">
            <v>-</v>
          </cell>
        </row>
        <row r="3378">
          <cell r="A3378" t="str">
            <v/>
          </cell>
          <cell r="AS3378" t="str">
            <v>-</v>
          </cell>
        </row>
        <row r="3379">
          <cell r="A3379" t="str">
            <v/>
          </cell>
          <cell r="AS3379" t="str">
            <v>-</v>
          </cell>
        </row>
        <row r="3380">
          <cell r="A3380" t="str">
            <v/>
          </cell>
          <cell r="AS3380" t="str">
            <v>-</v>
          </cell>
        </row>
        <row r="3381">
          <cell r="A3381" t="str">
            <v/>
          </cell>
          <cell r="AS3381" t="str">
            <v>-</v>
          </cell>
        </row>
        <row r="3382">
          <cell r="A3382" t="str">
            <v/>
          </cell>
          <cell r="AS3382" t="str">
            <v>-</v>
          </cell>
        </row>
        <row r="3383">
          <cell r="A3383" t="str">
            <v/>
          </cell>
          <cell r="AS3383" t="str">
            <v>-</v>
          </cell>
        </row>
        <row r="3384">
          <cell r="A3384" t="str">
            <v/>
          </cell>
          <cell r="AS3384" t="str">
            <v>-</v>
          </cell>
        </row>
        <row r="3385">
          <cell r="A3385" t="str">
            <v/>
          </cell>
          <cell r="AS3385" t="str">
            <v>-</v>
          </cell>
        </row>
        <row r="3386">
          <cell r="A3386" t="str">
            <v/>
          </cell>
          <cell r="AS3386" t="str">
            <v>-</v>
          </cell>
        </row>
        <row r="3387">
          <cell r="A3387" t="str">
            <v/>
          </cell>
          <cell r="AS3387" t="str">
            <v>-</v>
          </cell>
        </row>
        <row r="3388">
          <cell r="A3388" t="str">
            <v/>
          </cell>
          <cell r="AS3388" t="str">
            <v>-</v>
          </cell>
        </row>
        <row r="3389">
          <cell r="A3389" t="str">
            <v/>
          </cell>
          <cell r="AS3389" t="str">
            <v>-</v>
          </cell>
        </row>
        <row r="3390">
          <cell r="A3390" t="str">
            <v/>
          </cell>
          <cell r="AS3390" t="str">
            <v>-</v>
          </cell>
        </row>
        <row r="3391">
          <cell r="A3391" t="str">
            <v/>
          </cell>
          <cell r="AS3391" t="str">
            <v>-</v>
          </cell>
        </row>
        <row r="3392">
          <cell r="A3392" t="str">
            <v/>
          </cell>
          <cell r="AS3392" t="str">
            <v>-</v>
          </cell>
        </row>
        <row r="3393">
          <cell r="A3393" t="str">
            <v/>
          </cell>
          <cell r="AS3393" t="str">
            <v>-</v>
          </cell>
        </row>
        <row r="3394">
          <cell r="A3394" t="str">
            <v/>
          </cell>
          <cell r="AS3394" t="str">
            <v>-</v>
          </cell>
        </row>
        <row r="3395">
          <cell r="A3395" t="str">
            <v/>
          </cell>
          <cell r="AS3395" t="str">
            <v>-</v>
          </cell>
        </row>
        <row r="3396">
          <cell r="A3396" t="str">
            <v/>
          </cell>
          <cell r="AS3396" t="str">
            <v>-</v>
          </cell>
        </row>
        <row r="3397">
          <cell r="A3397" t="str">
            <v/>
          </cell>
          <cell r="AS3397" t="str">
            <v>-</v>
          </cell>
        </row>
        <row r="3398">
          <cell r="A3398" t="str">
            <v/>
          </cell>
          <cell r="AS3398" t="str">
            <v>-</v>
          </cell>
        </row>
        <row r="3399">
          <cell r="A3399" t="str">
            <v/>
          </cell>
          <cell r="AS3399" t="str">
            <v>-</v>
          </cell>
        </row>
        <row r="3400">
          <cell r="A3400" t="str">
            <v/>
          </cell>
          <cell r="AS3400" t="str">
            <v>-</v>
          </cell>
        </row>
        <row r="3401">
          <cell r="A3401" t="str">
            <v/>
          </cell>
          <cell r="AS3401" t="str">
            <v>-</v>
          </cell>
        </row>
        <row r="3402">
          <cell r="A3402" t="str">
            <v/>
          </cell>
          <cell r="AS3402" t="str">
            <v>-</v>
          </cell>
        </row>
        <row r="3403">
          <cell r="A3403" t="str">
            <v/>
          </cell>
          <cell r="AS3403" t="str">
            <v>-</v>
          </cell>
        </row>
        <row r="3404">
          <cell r="A3404" t="str">
            <v/>
          </cell>
          <cell r="AS3404" t="str">
            <v>-</v>
          </cell>
        </row>
        <row r="3405">
          <cell r="A3405" t="str">
            <v/>
          </cell>
          <cell r="AS3405" t="str">
            <v>-</v>
          </cell>
        </row>
        <row r="3406">
          <cell r="A3406" t="str">
            <v/>
          </cell>
          <cell r="AS3406" t="str">
            <v>-</v>
          </cell>
        </row>
        <row r="3407">
          <cell r="A3407" t="str">
            <v/>
          </cell>
          <cell r="AS3407" t="str">
            <v>-</v>
          </cell>
        </row>
        <row r="3408">
          <cell r="A3408" t="str">
            <v/>
          </cell>
          <cell r="AS3408" t="str">
            <v>-</v>
          </cell>
        </row>
        <row r="3409">
          <cell r="A3409" t="str">
            <v/>
          </cell>
          <cell r="AS3409" t="str">
            <v>-</v>
          </cell>
        </row>
        <row r="3410">
          <cell r="A3410" t="str">
            <v/>
          </cell>
          <cell r="AS3410" t="str">
            <v>-</v>
          </cell>
        </row>
        <row r="3411">
          <cell r="A3411" t="str">
            <v/>
          </cell>
          <cell r="AS3411" t="str">
            <v>-</v>
          </cell>
        </row>
        <row r="3412">
          <cell r="A3412" t="str">
            <v/>
          </cell>
          <cell r="AS3412" t="str">
            <v>-</v>
          </cell>
        </row>
        <row r="3413">
          <cell r="A3413" t="str">
            <v/>
          </cell>
          <cell r="AS3413" t="str">
            <v>-</v>
          </cell>
        </row>
        <row r="3414">
          <cell r="A3414" t="str">
            <v/>
          </cell>
          <cell r="AS3414" t="str">
            <v>-</v>
          </cell>
        </row>
        <row r="3415">
          <cell r="A3415" t="str">
            <v/>
          </cell>
          <cell r="AS3415" t="str">
            <v>-</v>
          </cell>
        </row>
        <row r="3416">
          <cell r="A3416" t="str">
            <v/>
          </cell>
          <cell r="AS3416" t="str">
            <v>-</v>
          </cell>
        </row>
        <row r="3417">
          <cell r="A3417" t="str">
            <v/>
          </cell>
          <cell r="AS3417" t="str">
            <v>-</v>
          </cell>
        </row>
        <row r="3418">
          <cell r="A3418" t="str">
            <v/>
          </cell>
          <cell r="AS3418" t="str">
            <v>-</v>
          </cell>
        </row>
        <row r="3419">
          <cell r="A3419" t="str">
            <v/>
          </cell>
          <cell r="AS3419" t="str">
            <v>-</v>
          </cell>
        </row>
        <row r="3420">
          <cell r="A3420" t="str">
            <v/>
          </cell>
          <cell r="AS3420" t="str">
            <v>-</v>
          </cell>
        </row>
        <row r="3421">
          <cell r="A3421" t="str">
            <v/>
          </cell>
          <cell r="AS3421" t="str">
            <v>-</v>
          </cell>
        </row>
        <row r="3422">
          <cell r="A3422" t="str">
            <v/>
          </cell>
          <cell r="AS3422" t="str">
            <v>-</v>
          </cell>
        </row>
        <row r="3423">
          <cell r="A3423" t="str">
            <v/>
          </cell>
          <cell r="AS3423" t="str">
            <v>-</v>
          </cell>
        </row>
        <row r="3424">
          <cell r="A3424" t="str">
            <v/>
          </cell>
          <cell r="AS3424" t="str">
            <v>-</v>
          </cell>
        </row>
        <row r="3425">
          <cell r="A3425" t="str">
            <v/>
          </cell>
          <cell r="AS3425" t="str">
            <v>-</v>
          </cell>
        </row>
        <row r="3426">
          <cell r="A3426" t="str">
            <v/>
          </cell>
          <cell r="AS3426" t="str">
            <v>-</v>
          </cell>
        </row>
        <row r="3427">
          <cell r="A3427" t="str">
            <v/>
          </cell>
          <cell r="AS3427" t="str">
            <v>-</v>
          </cell>
        </row>
        <row r="3428">
          <cell r="A3428" t="str">
            <v/>
          </cell>
          <cell r="AS3428" t="str">
            <v>-</v>
          </cell>
        </row>
        <row r="3429">
          <cell r="A3429" t="str">
            <v/>
          </cell>
          <cell r="AS3429" t="str">
            <v>-</v>
          </cell>
        </row>
        <row r="3430">
          <cell r="A3430" t="str">
            <v/>
          </cell>
          <cell r="AS3430" t="str">
            <v>-</v>
          </cell>
        </row>
        <row r="3431">
          <cell r="A3431" t="str">
            <v/>
          </cell>
          <cell r="AS3431" t="str">
            <v>-</v>
          </cell>
        </row>
        <row r="3432">
          <cell r="A3432" t="str">
            <v/>
          </cell>
          <cell r="AS3432" t="str">
            <v>-</v>
          </cell>
        </row>
        <row r="3433">
          <cell r="A3433" t="str">
            <v/>
          </cell>
          <cell r="AS3433" t="str">
            <v>-</v>
          </cell>
        </row>
        <row r="3434">
          <cell r="A3434" t="str">
            <v/>
          </cell>
          <cell r="AS3434" t="str">
            <v>-</v>
          </cell>
        </row>
        <row r="3435">
          <cell r="A3435" t="str">
            <v/>
          </cell>
          <cell r="AS3435" t="str">
            <v>-</v>
          </cell>
        </row>
        <row r="3436">
          <cell r="A3436" t="str">
            <v/>
          </cell>
          <cell r="AS3436" t="str">
            <v>-</v>
          </cell>
        </row>
        <row r="3437">
          <cell r="A3437" t="str">
            <v/>
          </cell>
          <cell r="AS3437" t="str">
            <v>-</v>
          </cell>
        </row>
        <row r="3438">
          <cell r="A3438" t="str">
            <v/>
          </cell>
          <cell r="AS3438" t="str">
            <v>-</v>
          </cell>
        </row>
        <row r="3439">
          <cell r="A3439" t="str">
            <v/>
          </cell>
          <cell r="AS3439" t="str">
            <v>-</v>
          </cell>
        </row>
        <row r="3440">
          <cell r="A3440" t="str">
            <v/>
          </cell>
          <cell r="AS3440" t="str">
            <v>-</v>
          </cell>
        </row>
        <row r="3441">
          <cell r="A3441" t="str">
            <v/>
          </cell>
          <cell r="AS3441" t="str">
            <v>-</v>
          </cell>
        </row>
        <row r="3442">
          <cell r="A3442" t="str">
            <v/>
          </cell>
          <cell r="AS3442" t="str">
            <v>-</v>
          </cell>
        </row>
        <row r="3443">
          <cell r="A3443" t="str">
            <v/>
          </cell>
          <cell r="AS3443" t="str">
            <v>-</v>
          </cell>
        </row>
        <row r="3444">
          <cell r="A3444" t="str">
            <v/>
          </cell>
          <cell r="AS3444" t="str">
            <v>-</v>
          </cell>
        </row>
        <row r="3445">
          <cell r="A3445" t="str">
            <v/>
          </cell>
          <cell r="AS3445" t="str">
            <v>-</v>
          </cell>
        </row>
        <row r="3446">
          <cell r="A3446" t="str">
            <v/>
          </cell>
          <cell r="AS3446" t="str">
            <v>-</v>
          </cell>
        </row>
        <row r="3447">
          <cell r="A3447" t="str">
            <v/>
          </cell>
          <cell r="AS3447" t="str">
            <v>-</v>
          </cell>
        </row>
        <row r="3448">
          <cell r="A3448" t="str">
            <v/>
          </cell>
          <cell r="AS3448" t="str">
            <v>-</v>
          </cell>
        </row>
        <row r="3449">
          <cell r="A3449" t="str">
            <v/>
          </cell>
          <cell r="AS3449" t="str">
            <v>-</v>
          </cell>
        </row>
        <row r="3450">
          <cell r="A3450" t="str">
            <v/>
          </cell>
          <cell r="AS3450" t="str">
            <v>-</v>
          </cell>
        </row>
        <row r="3451">
          <cell r="A3451" t="str">
            <v/>
          </cell>
          <cell r="AS3451" t="str">
            <v>-</v>
          </cell>
        </row>
        <row r="3452">
          <cell r="A3452" t="str">
            <v/>
          </cell>
          <cell r="AS3452" t="str">
            <v>-</v>
          </cell>
        </row>
        <row r="3453">
          <cell r="A3453" t="str">
            <v/>
          </cell>
          <cell r="AS3453" t="str">
            <v>-</v>
          </cell>
        </row>
        <row r="3454">
          <cell r="A3454" t="str">
            <v/>
          </cell>
          <cell r="AS3454" t="str">
            <v>-</v>
          </cell>
        </row>
        <row r="3455">
          <cell r="A3455" t="str">
            <v/>
          </cell>
          <cell r="AS3455" t="str">
            <v>-</v>
          </cell>
        </row>
        <row r="3456">
          <cell r="A3456" t="str">
            <v/>
          </cell>
          <cell r="AS3456" t="str">
            <v>-</v>
          </cell>
        </row>
        <row r="3457">
          <cell r="A3457" t="str">
            <v/>
          </cell>
          <cell r="AS3457" t="str">
            <v>-</v>
          </cell>
        </row>
        <row r="3458">
          <cell r="A3458" t="str">
            <v/>
          </cell>
          <cell r="AS3458" t="str">
            <v>-</v>
          </cell>
        </row>
        <row r="3459">
          <cell r="A3459" t="str">
            <v/>
          </cell>
          <cell r="AS3459" t="str">
            <v>-</v>
          </cell>
        </row>
        <row r="3460">
          <cell r="A3460" t="str">
            <v/>
          </cell>
          <cell r="AS3460" t="str">
            <v>-</v>
          </cell>
        </row>
        <row r="3461">
          <cell r="A3461" t="str">
            <v/>
          </cell>
          <cell r="AS3461" t="str">
            <v>-</v>
          </cell>
        </row>
        <row r="3462">
          <cell r="A3462" t="str">
            <v/>
          </cell>
          <cell r="AS3462" t="str">
            <v>-</v>
          </cell>
        </row>
        <row r="3463">
          <cell r="A3463" t="str">
            <v/>
          </cell>
          <cell r="AS3463" t="str">
            <v>-</v>
          </cell>
        </row>
        <row r="3464">
          <cell r="A3464" t="str">
            <v/>
          </cell>
          <cell r="AS3464" t="str">
            <v>-</v>
          </cell>
        </row>
        <row r="3465">
          <cell r="A3465" t="str">
            <v/>
          </cell>
          <cell r="AS3465" t="str">
            <v>-</v>
          </cell>
        </row>
        <row r="3466">
          <cell r="A3466" t="str">
            <v/>
          </cell>
          <cell r="AS3466" t="str">
            <v>-</v>
          </cell>
        </row>
        <row r="3467">
          <cell r="A3467" t="str">
            <v/>
          </cell>
          <cell r="AS3467" t="str">
            <v>-</v>
          </cell>
        </row>
        <row r="3468">
          <cell r="A3468" t="str">
            <v/>
          </cell>
          <cell r="AS3468" t="str">
            <v>-</v>
          </cell>
        </row>
        <row r="3469">
          <cell r="A3469" t="str">
            <v/>
          </cell>
          <cell r="AS3469" t="str">
            <v>-</v>
          </cell>
        </row>
        <row r="3470">
          <cell r="A3470" t="str">
            <v/>
          </cell>
          <cell r="AS3470" t="str">
            <v>-</v>
          </cell>
        </row>
        <row r="3471">
          <cell r="A3471" t="str">
            <v/>
          </cell>
          <cell r="AS3471" t="str">
            <v>-</v>
          </cell>
        </row>
        <row r="3472">
          <cell r="A3472" t="str">
            <v/>
          </cell>
          <cell r="AS3472" t="str">
            <v>-</v>
          </cell>
        </row>
        <row r="3473">
          <cell r="A3473" t="str">
            <v/>
          </cell>
          <cell r="AS3473" t="str">
            <v>-</v>
          </cell>
        </row>
        <row r="3474">
          <cell r="A3474" t="str">
            <v/>
          </cell>
          <cell r="AS3474" t="str">
            <v>-</v>
          </cell>
        </row>
        <row r="3475">
          <cell r="A3475" t="str">
            <v/>
          </cell>
          <cell r="AS3475" t="str">
            <v>-</v>
          </cell>
        </row>
        <row r="3476">
          <cell r="A3476" t="str">
            <v/>
          </cell>
          <cell r="AS3476" t="str">
            <v>-</v>
          </cell>
        </row>
        <row r="3477">
          <cell r="A3477" t="str">
            <v/>
          </cell>
          <cell r="AS3477" t="str">
            <v>-</v>
          </cell>
        </row>
        <row r="3478">
          <cell r="A3478" t="str">
            <v/>
          </cell>
          <cell r="AS3478" t="str">
            <v>-</v>
          </cell>
        </row>
        <row r="3479">
          <cell r="A3479" t="str">
            <v/>
          </cell>
          <cell r="AS3479" t="str">
            <v>-</v>
          </cell>
        </row>
        <row r="3480">
          <cell r="A3480" t="str">
            <v/>
          </cell>
          <cell r="AS3480" t="str">
            <v>-</v>
          </cell>
        </row>
        <row r="3481">
          <cell r="A3481" t="str">
            <v/>
          </cell>
          <cell r="AS3481" t="str">
            <v>-</v>
          </cell>
        </row>
        <row r="3482">
          <cell r="A3482" t="str">
            <v/>
          </cell>
          <cell r="AS3482" t="str">
            <v>-</v>
          </cell>
        </row>
        <row r="3483">
          <cell r="A3483" t="str">
            <v/>
          </cell>
          <cell r="AS3483" t="str">
            <v>-</v>
          </cell>
        </row>
        <row r="3484">
          <cell r="A3484" t="str">
            <v/>
          </cell>
          <cell r="AS3484" t="str">
            <v>-</v>
          </cell>
        </row>
        <row r="3485">
          <cell r="A3485" t="str">
            <v/>
          </cell>
          <cell r="AS3485" t="str">
            <v>-</v>
          </cell>
        </row>
        <row r="3486">
          <cell r="A3486" t="str">
            <v/>
          </cell>
          <cell r="AS3486" t="str">
            <v>-</v>
          </cell>
        </row>
        <row r="3487">
          <cell r="A3487" t="str">
            <v/>
          </cell>
          <cell r="AS3487" t="str">
            <v>-</v>
          </cell>
        </row>
        <row r="3488">
          <cell r="A3488" t="str">
            <v/>
          </cell>
          <cell r="AS3488" t="str">
            <v>-</v>
          </cell>
        </row>
        <row r="3489">
          <cell r="A3489" t="str">
            <v/>
          </cell>
          <cell r="AS3489" t="str">
            <v>-</v>
          </cell>
        </row>
        <row r="3490">
          <cell r="A3490" t="str">
            <v/>
          </cell>
          <cell r="AS3490" t="str">
            <v>-</v>
          </cell>
        </row>
        <row r="3491">
          <cell r="A3491" t="str">
            <v/>
          </cell>
          <cell r="AS3491" t="str">
            <v>-</v>
          </cell>
        </row>
        <row r="3492">
          <cell r="A3492" t="str">
            <v/>
          </cell>
          <cell r="AS3492" t="str">
            <v>-</v>
          </cell>
        </row>
        <row r="3493">
          <cell r="A3493" t="str">
            <v/>
          </cell>
          <cell r="AS3493" t="str">
            <v>-</v>
          </cell>
        </row>
        <row r="3494">
          <cell r="A3494" t="str">
            <v/>
          </cell>
          <cell r="AS3494" t="str">
            <v>-</v>
          </cell>
        </row>
        <row r="3495">
          <cell r="A3495" t="str">
            <v/>
          </cell>
          <cell r="AS3495" t="str">
            <v>-</v>
          </cell>
        </row>
        <row r="3496">
          <cell r="A3496" t="str">
            <v/>
          </cell>
          <cell r="AS3496" t="str">
            <v>-</v>
          </cell>
        </row>
        <row r="3497">
          <cell r="A3497" t="str">
            <v/>
          </cell>
          <cell r="AS3497" t="str">
            <v>-</v>
          </cell>
        </row>
        <row r="3498">
          <cell r="A3498" t="str">
            <v/>
          </cell>
          <cell r="AS3498" t="str">
            <v>-</v>
          </cell>
        </row>
        <row r="3499">
          <cell r="A3499" t="str">
            <v/>
          </cell>
          <cell r="AS3499" t="str">
            <v>-</v>
          </cell>
        </row>
        <row r="3500">
          <cell r="A3500" t="str">
            <v/>
          </cell>
          <cell r="AS3500" t="str">
            <v>-</v>
          </cell>
        </row>
        <row r="3501">
          <cell r="A3501" t="str">
            <v/>
          </cell>
          <cell r="AS3501" t="str">
            <v>-</v>
          </cell>
        </row>
        <row r="3502">
          <cell r="A3502" t="str">
            <v/>
          </cell>
          <cell r="AS3502" t="str">
            <v>-</v>
          </cell>
        </row>
        <row r="3503">
          <cell r="A3503" t="str">
            <v/>
          </cell>
          <cell r="AS3503" t="str">
            <v>-</v>
          </cell>
        </row>
        <row r="3504">
          <cell r="A3504" t="str">
            <v/>
          </cell>
          <cell r="AS3504" t="str">
            <v>-</v>
          </cell>
        </row>
        <row r="3505">
          <cell r="A3505" t="str">
            <v/>
          </cell>
          <cell r="AS3505" t="str">
            <v>-</v>
          </cell>
        </row>
        <row r="3506">
          <cell r="A3506" t="str">
            <v/>
          </cell>
          <cell r="AS3506" t="str">
            <v>-</v>
          </cell>
        </row>
        <row r="3507">
          <cell r="A3507" t="str">
            <v/>
          </cell>
          <cell r="AS3507" t="str">
            <v>-</v>
          </cell>
        </row>
        <row r="3508">
          <cell r="A3508" t="str">
            <v/>
          </cell>
          <cell r="AS3508" t="str">
            <v>-</v>
          </cell>
        </row>
        <row r="3509">
          <cell r="A3509" t="str">
            <v/>
          </cell>
          <cell r="AS3509" t="str">
            <v>-</v>
          </cell>
        </row>
        <row r="3510">
          <cell r="A3510" t="str">
            <v/>
          </cell>
          <cell r="AS3510" t="str">
            <v>-</v>
          </cell>
        </row>
        <row r="3511">
          <cell r="A3511" t="str">
            <v/>
          </cell>
          <cell r="AS3511" t="str">
            <v>-</v>
          </cell>
        </row>
        <row r="3512">
          <cell r="A3512" t="str">
            <v/>
          </cell>
          <cell r="AS3512" t="str">
            <v>-</v>
          </cell>
        </row>
        <row r="3513">
          <cell r="A3513" t="str">
            <v/>
          </cell>
          <cell r="AS3513" t="str">
            <v>-</v>
          </cell>
        </row>
        <row r="3514">
          <cell r="A3514" t="str">
            <v/>
          </cell>
          <cell r="AS3514" t="str">
            <v>-</v>
          </cell>
        </row>
        <row r="3515">
          <cell r="A3515" t="str">
            <v/>
          </cell>
          <cell r="AS3515" t="str">
            <v>-</v>
          </cell>
        </row>
        <row r="3516">
          <cell r="A3516" t="str">
            <v/>
          </cell>
          <cell r="AS3516" t="str">
            <v>-</v>
          </cell>
        </row>
        <row r="3517">
          <cell r="A3517" t="str">
            <v/>
          </cell>
          <cell r="AS3517" t="str">
            <v>-</v>
          </cell>
        </row>
        <row r="3518">
          <cell r="A3518" t="str">
            <v/>
          </cell>
          <cell r="AS3518" t="str">
            <v>-</v>
          </cell>
        </row>
        <row r="3519">
          <cell r="A3519" t="str">
            <v/>
          </cell>
          <cell r="AS3519" t="str">
            <v>-</v>
          </cell>
        </row>
        <row r="3520">
          <cell r="A3520" t="str">
            <v/>
          </cell>
          <cell r="AS3520" t="str">
            <v>-</v>
          </cell>
        </row>
        <row r="3521">
          <cell r="A3521" t="str">
            <v/>
          </cell>
          <cell r="AS3521" t="str">
            <v>-</v>
          </cell>
        </row>
        <row r="3522">
          <cell r="A3522" t="str">
            <v/>
          </cell>
          <cell r="AS3522" t="str">
            <v>-</v>
          </cell>
        </row>
        <row r="3523">
          <cell r="A3523" t="str">
            <v/>
          </cell>
          <cell r="AS3523" t="str">
            <v>-</v>
          </cell>
        </row>
        <row r="3524">
          <cell r="A3524" t="str">
            <v/>
          </cell>
          <cell r="AS3524" t="str">
            <v>-</v>
          </cell>
        </row>
        <row r="3525">
          <cell r="A3525" t="str">
            <v/>
          </cell>
          <cell r="AS3525" t="str">
            <v>-</v>
          </cell>
        </row>
        <row r="3526">
          <cell r="A3526" t="str">
            <v/>
          </cell>
          <cell r="AS3526" t="str">
            <v>-</v>
          </cell>
        </row>
        <row r="3527">
          <cell r="A3527" t="str">
            <v/>
          </cell>
          <cell r="AS3527" t="str">
            <v>-</v>
          </cell>
        </row>
        <row r="3528">
          <cell r="A3528" t="str">
            <v/>
          </cell>
          <cell r="AS3528" t="str">
            <v>-</v>
          </cell>
        </row>
        <row r="3529">
          <cell r="A3529" t="str">
            <v/>
          </cell>
          <cell r="AS3529" t="str">
            <v>-</v>
          </cell>
        </row>
        <row r="3530">
          <cell r="A3530" t="str">
            <v/>
          </cell>
          <cell r="AS3530" t="str">
            <v>-</v>
          </cell>
        </row>
        <row r="3531">
          <cell r="A3531" t="str">
            <v/>
          </cell>
          <cell r="AS3531" t="str">
            <v>-</v>
          </cell>
        </row>
        <row r="3532">
          <cell r="A3532" t="str">
            <v/>
          </cell>
          <cell r="AS3532" t="str">
            <v>-</v>
          </cell>
        </row>
        <row r="3533">
          <cell r="A3533" t="str">
            <v/>
          </cell>
          <cell r="AS3533" t="str">
            <v>-</v>
          </cell>
        </row>
        <row r="3534">
          <cell r="A3534" t="str">
            <v/>
          </cell>
          <cell r="AS3534" t="str">
            <v>-</v>
          </cell>
        </row>
        <row r="3535">
          <cell r="A3535" t="str">
            <v/>
          </cell>
          <cell r="AS3535" t="str">
            <v>-</v>
          </cell>
        </row>
        <row r="3536">
          <cell r="A3536" t="str">
            <v/>
          </cell>
          <cell r="AS3536" t="str">
            <v>-</v>
          </cell>
        </row>
        <row r="3537">
          <cell r="A3537" t="str">
            <v/>
          </cell>
          <cell r="AS3537" t="str">
            <v>-</v>
          </cell>
        </row>
        <row r="3538">
          <cell r="A3538" t="str">
            <v/>
          </cell>
          <cell r="AS3538" t="str">
            <v>-</v>
          </cell>
        </row>
        <row r="3539">
          <cell r="A3539" t="str">
            <v/>
          </cell>
          <cell r="AS3539" t="str">
            <v>-</v>
          </cell>
        </row>
        <row r="3540">
          <cell r="A3540" t="str">
            <v/>
          </cell>
          <cell r="AS3540" t="str">
            <v>-</v>
          </cell>
        </row>
        <row r="3541">
          <cell r="A3541" t="str">
            <v/>
          </cell>
          <cell r="AS3541" t="str">
            <v>-</v>
          </cell>
        </row>
        <row r="3542">
          <cell r="A3542" t="str">
            <v/>
          </cell>
          <cell r="AS3542" t="str">
            <v>-</v>
          </cell>
        </row>
        <row r="3543">
          <cell r="A3543" t="str">
            <v/>
          </cell>
          <cell r="AS3543" t="str">
            <v>-</v>
          </cell>
        </row>
        <row r="3544">
          <cell r="A3544" t="str">
            <v/>
          </cell>
          <cell r="AS3544" t="str">
            <v>-</v>
          </cell>
        </row>
        <row r="3545">
          <cell r="A3545" t="str">
            <v/>
          </cell>
          <cell r="AS3545" t="str">
            <v>-</v>
          </cell>
        </row>
        <row r="3546">
          <cell r="A3546" t="str">
            <v/>
          </cell>
          <cell r="AS3546" t="str">
            <v>-</v>
          </cell>
        </row>
        <row r="3547">
          <cell r="A3547" t="str">
            <v/>
          </cell>
          <cell r="AS3547" t="str">
            <v>-</v>
          </cell>
        </row>
        <row r="3548">
          <cell r="A3548" t="str">
            <v/>
          </cell>
          <cell r="AS3548" t="str">
            <v>-</v>
          </cell>
        </row>
        <row r="3549">
          <cell r="A3549" t="str">
            <v/>
          </cell>
          <cell r="AS3549" t="str">
            <v>-</v>
          </cell>
        </row>
        <row r="3550">
          <cell r="A3550" t="str">
            <v/>
          </cell>
          <cell r="AS3550" t="str">
            <v>-</v>
          </cell>
        </row>
        <row r="3551">
          <cell r="A3551" t="str">
            <v/>
          </cell>
          <cell r="AS3551" t="str">
            <v>-</v>
          </cell>
        </row>
        <row r="3552">
          <cell r="A3552" t="str">
            <v/>
          </cell>
          <cell r="AS3552" t="str">
            <v>-</v>
          </cell>
        </row>
        <row r="3553">
          <cell r="A3553" t="str">
            <v/>
          </cell>
          <cell r="AS3553" t="str">
            <v>-</v>
          </cell>
        </row>
        <row r="3554">
          <cell r="A3554" t="str">
            <v/>
          </cell>
          <cell r="AS3554" t="str">
            <v>-</v>
          </cell>
        </row>
        <row r="3555">
          <cell r="A3555" t="str">
            <v/>
          </cell>
          <cell r="AS3555" t="str">
            <v>-</v>
          </cell>
        </row>
        <row r="3556">
          <cell r="A3556" t="str">
            <v/>
          </cell>
          <cell r="AS3556" t="str">
            <v>-</v>
          </cell>
        </row>
        <row r="3557">
          <cell r="A3557" t="str">
            <v/>
          </cell>
          <cell r="AS3557" t="str">
            <v>-</v>
          </cell>
        </row>
        <row r="3558">
          <cell r="A3558" t="str">
            <v/>
          </cell>
          <cell r="AS3558" t="str">
            <v>-</v>
          </cell>
        </row>
        <row r="3559">
          <cell r="A3559" t="str">
            <v/>
          </cell>
          <cell r="AS3559" t="str">
            <v>-</v>
          </cell>
        </row>
        <row r="3560">
          <cell r="A3560" t="str">
            <v/>
          </cell>
          <cell r="AS3560" t="str">
            <v>-</v>
          </cell>
        </row>
        <row r="3561">
          <cell r="A3561" t="str">
            <v/>
          </cell>
          <cell r="AS3561" t="str">
            <v>-</v>
          </cell>
        </row>
        <row r="3562">
          <cell r="A3562" t="str">
            <v/>
          </cell>
          <cell r="AS3562" t="str">
            <v>-</v>
          </cell>
        </row>
        <row r="3563">
          <cell r="A3563" t="str">
            <v/>
          </cell>
          <cell r="AS3563" t="str">
            <v>-</v>
          </cell>
        </row>
        <row r="3564">
          <cell r="A3564" t="str">
            <v/>
          </cell>
          <cell r="AS3564" t="str">
            <v>-</v>
          </cell>
        </row>
        <row r="3565">
          <cell r="A3565" t="str">
            <v/>
          </cell>
          <cell r="AS3565" t="str">
            <v>-</v>
          </cell>
        </row>
        <row r="3566">
          <cell r="A3566" t="str">
            <v/>
          </cell>
          <cell r="AS3566" t="str">
            <v>-</v>
          </cell>
        </row>
        <row r="3567">
          <cell r="A3567" t="str">
            <v/>
          </cell>
          <cell r="AS3567" t="str">
            <v>-</v>
          </cell>
        </row>
        <row r="3568">
          <cell r="A3568" t="str">
            <v/>
          </cell>
          <cell r="AS3568" t="str">
            <v>-</v>
          </cell>
        </row>
        <row r="3569">
          <cell r="A3569" t="str">
            <v/>
          </cell>
          <cell r="AS3569" t="str">
            <v>-</v>
          </cell>
        </row>
        <row r="3570">
          <cell r="A3570" t="str">
            <v/>
          </cell>
          <cell r="AS3570" t="str">
            <v>-</v>
          </cell>
        </row>
        <row r="3571">
          <cell r="A3571" t="str">
            <v/>
          </cell>
          <cell r="AS3571" t="str">
            <v>-</v>
          </cell>
        </row>
        <row r="3572">
          <cell r="A3572" t="str">
            <v/>
          </cell>
          <cell r="AS3572" t="str">
            <v>-</v>
          </cell>
        </row>
        <row r="3573">
          <cell r="A3573" t="str">
            <v/>
          </cell>
          <cell r="AS3573" t="str">
            <v>-</v>
          </cell>
        </row>
        <row r="3574">
          <cell r="A3574" t="str">
            <v/>
          </cell>
          <cell r="AS3574" t="str">
            <v>-</v>
          </cell>
        </row>
        <row r="3575">
          <cell r="A3575" t="str">
            <v/>
          </cell>
          <cell r="AS3575" t="str">
            <v>-</v>
          </cell>
        </row>
        <row r="3576">
          <cell r="A3576" t="str">
            <v/>
          </cell>
          <cell r="AS3576" t="str">
            <v>-</v>
          </cell>
        </row>
        <row r="3577">
          <cell r="A3577" t="str">
            <v/>
          </cell>
          <cell r="AS3577" t="str">
            <v>-</v>
          </cell>
        </row>
        <row r="3578">
          <cell r="A3578" t="str">
            <v/>
          </cell>
          <cell r="AS3578" t="str">
            <v>-</v>
          </cell>
        </row>
        <row r="3579">
          <cell r="A3579" t="str">
            <v/>
          </cell>
          <cell r="AS3579" t="str">
            <v>-</v>
          </cell>
        </row>
        <row r="3580">
          <cell r="A3580" t="str">
            <v/>
          </cell>
          <cell r="AS3580" t="str">
            <v>-</v>
          </cell>
        </row>
        <row r="3581">
          <cell r="A3581" t="str">
            <v/>
          </cell>
          <cell r="AS3581" t="str">
            <v>-</v>
          </cell>
        </row>
        <row r="3582">
          <cell r="A3582" t="str">
            <v/>
          </cell>
          <cell r="AS3582" t="str">
            <v>-</v>
          </cell>
        </row>
        <row r="3583">
          <cell r="A3583" t="str">
            <v/>
          </cell>
          <cell r="AS3583" t="str">
            <v>-</v>
          </cell>
        </row>
        <row r="3584">
          <cell r="A3584" t="str">
            <v/>
          </cell>
          <cell r="AS3584" t="str">
            <v>-</v>
          </cell>
        </row>
        <row r="3585">
          <cell r="A3585" t="str">
            <v/>
          </cell>
          <cell r="AS3585" t="str">
            <v>-</v>
          </cell>
        </row>
        <row r="3586">
          <cell r="A3586" t="str">
            <v/>
          </cell>
          <cell r="AS3586" t="str">
            <v>-</v>
          </cell>
        </row>
        <row r="3587">
          <cell r="A3587" t="str">
            <v/>
          </cell>
          <cell r="AS3587" t="str">
            <v>-</v>
          </cell>
        </row>
        <row r="3588">
          <cell r="A3588" t="str">
            <v/>
          </cell>
          <cell r="AS3588" t="str">
            <v>-</v>
          </cell>
        </row>
        <row r="3589">
          <cell r="A3589" t="str">
            <v/>
          </cell>
          <cell r="AS3589" t="str">
            <v>-</v>
          </cell>
        </row>
        <row r="3590">
          <cell r="A3590" t="str">
            <v/>
          </cell>
          <cell r="AS3590" t="str">
            <v>-</v>
          </cell>
        </row>
        <row r="3591">
          <cell r="A3591" t="str">
            <v/>
          </cell>
          <cell r="AS3591" t="str">
            <v>-</v>
          </cell>
        </row>
        <row r="3592">
          <cell r="A3592" t="str">
            <v/>
          </cell>
          <cell r="AS3592" t="str">
            <v>-</v>
          </cell>
        </row>
        <row r="3593">
          <cell r="A3593" t="str">
            <v/>
          </cell>
          <cell r="AS3593" t="str">
            <v>-</v>
          </cell>
        </row>
        <row r="3594">
          <cell r="A3594" t="str">
            <v/>
          </cell>
          <cell r="AS3594" t="str">
            <v>-</v>
          </cell>
        </row>
        <row r="3595">
          <cell r="A3595" t="str">
            <v/>
          </cell>
          <cell r="AS3595" t="str">
            <v>-</v>
          </cell>
        </row>
        <row r="3596">
          <cell r="A3596" t="str">
            <v/>
          </cell>
          <cell r="AS3596" t="str">
            <v>-</v>
          </cell>
        </row>
        <row r="3597">
          <cell r="A3597" t="str">
            <v/>
          </cell>
          <cell r="AS3597" t="str">
            <v>-</v>
          </cell>
        </row>
        <row r="3598">
          <cell r="A3598" t="str">
            <v/>
          </cell>
          <cell r="AS3598" t="str">
            <v>-</v>
          </cell>
        </row>
        <row r="3599">
          <cell r="A3599" t="str">
            <v/>
          </cell>
          <cell r="AS3599" t="str">
            <v>-</v>
          </cell>
        </row>
        <row r="3600">
          <cell r="A3600" t="str">
            <v/>
          </cell>
          <cell r="AS3600" t="str">
            <v>-</v>
          </cell>
        </row>
        <row r="3601">
          <cell r="A3601" t="str">
            <v/>
          </cell>
          <cell r="AS3601" t="str">
            <v>-</v>
          </cell>
        </row>
        <row r="3602">
          <cell r="A3602" t="str">
            <v/>
          </cell>
          <cell r="AS3602" t="str">
            <v>-</v>
          </cell>
        </row>
        <row r="3603">
          <cell r="A3603" t="str">
            <v/>
          </cell>
          <cell r="AS3603" t="str">
            <v>-</v>
          </cell>
        </row>
        <row r="3604">
          <cell r="A3604" t="str">
            <v/>
          </cell>
          <cell r="AS3604" t="str">
            <v>-</v>
          </cell>
        </row>
        <row r="3605">
          <cell r="A3605" t="str">
            <v/>
          </cell>
          <cell r="AS3605" t="str">
            <v>-</v>
          </cell>
        </row>
        <row r="3606">
          <cell r="A3606" t="str">
            <v/>
          </cell>
          <cell r="AS3606" t="str">
            <v>-</v>
          </cell>
        </row>
        <row r="3607">
          <cell r="A3607" t="str">
            <v/>
          </cell>
          <cell r="AS3607" t="str">
            <v>-</v>
          </cell>
        </row>
        <row r="3608">
          <cell r="A3608" t="str">
            <v/>
          </cell>
          <cell r="AS3608" t="str">
            <v>-</v>
          </cell>
        </row>
        <row r="3609">
          <cell r="A3609" t="str">
            <v/>
          </cell>
          <cell r="AS3609" t="str">
            <v>-</v>
          </cell>
        </row>
        <row r="3610">
          <cell r="A3610" t="str">
            <v/>
          </cell>
          <cell r="AS3610" t="str">
            <v>-</v>
          </cell>
        </row>
        <row r="3611">
          <cell r="A3611" t="str">
            <v/>
          </cell>
          <cell r="AS3611" t="str">
            <v>-</v>
          </cell>
        </row>
        <row r="3612">
          <cell r="A3612" t="str">
            <v/>
          </cell>
          <cell r="AS3612" t="str">
            <v>-</v>
          </cell>
        </row>
        <row r="3613">
          <cell r="A3613" t="str">
            <v/>
          </cell>
          <cell r="AS3613" t="str">
            <v>-</v>
          </cell>
        </row>
        <row r="3614">
          <cell r="A3614" t="str">
            <v/>
          </cell>
          <cell r="AS3614" t="str">
            <v>-</v>
          </cell>
        </row>
        <row r="3615">
          <cell r="A3615" t="str">
            <v/>
          </cell>
          <cell r="AS3615" t="str">
            <v>-</v>
          </cell>
        </row>
        <row r="3616">
          <cell r="A3616" t="str">
            <v/>
          </cell>
          <cell r="AS3616" t="str">
            <v>-</v>
          </cell>
        </row>
        <row r="3617">
          <cell r="A3617" t="str">
            <v/>
          </cell>
          <cell r="AS3617" t="str">
            <v>-</v>
          </cell>
        </row>
        <row r="3618">
          <cell r="A3618" t="str">
            <v/>
          </cell>
          <cell r="AS3618" t="str">
            <v>-</v>
          </cell>
        </row>
        <row r="3619">
          <cell r="A3619" t="str">
            <v/>
          </cell>
          <cell r="AS3619" t="str">
            <v>-</v>
          </cell>
        </row>
        <row r="3620">
          <cell r="A3620" t="str">
            <v/>
          </cell>
          <cell r="AS3620" t="str">
            <v>-</v>
          </cell>
        </row>
        <row r="3621">
          <cell r="A3621" t="str">
            <v/>
          </cell>
          <cell r="AS3621" t="str">
            <v>-</v>
          </cell>
        </row>
        <row r="3622">
          <cell r="A3622" t="str">
            <v/>
          </cell>
          <cell r="AS3622" t="str">
            <v>-</v>
          </cell>
        </row>
        <row r="3623">
          <cell r="A3623" t="str">
            <v/>
          </cell>
          <cell r="AS3623" t="str">
            <v>-</v>
          </cell>
        </row>
        <row r="3624">
          <cell r="A3624" t="str">
            <v/>
          </cell>
          <cell r="AS3624" t="str">
            <v>-</v>
          </cell>
        </row>
        <row r="3625">
          <cell r="A3625" t="str">
            <v/>
          </cell>
          <cell r="AS3625" t="str">
            <v>-</v>
          </cell>
        </row>
        <row r="3626">
          <cell r="A3626" t="str">
            <v/>
          </cell>
          <cell r="AS3626" t="str">
            <v>-</v>
          </cell>
        </row>
        <row r="3627">
          <cell r="A3627" t="str">
            <v/>
          </cell>
          <cell r="AS3627" t="str">
            <v>-</v>
          </cell>
        </row>
        <row r="3628">
          <cell r="A3628" t="str">
            <v/>
          </cell>
          <cell r="AS3628" t="str">
            <v>-</v>
          </cell>
        </row>
        <row r="3629">
          <cell r="A3629" t="str">
            <v/>
          </cell>
          <cell r="AS3629" t="str">
            <v>-</v>
          </cell>
        </row>
        <row r="3630">
          <cell r="A3630" t="str">
            <v/>
          </cell>
          <cell r="AS3630" t="str">
            <v>-</v>
          </cell>
        </row>
        <row r="3631">
          <cell r="A3631" t="str">
            <v/>
          </cell>
          <cell r="AS3631" t="str">
            <v>-</v>
          </cell>
        </row>
        <row r="3632">
          <cell r="A3632" t="str">
            <v/>
          </cell>
          <cell r="AS3632" t="str">
            <v>-</v>
          </cell>
        </row>
        <row r="3633">
          <cell r="A3633" t="str">
            <v/>
          </cell>
          <cell r="AS3633" t="str">
            <v>-</v>
          </cell>
        </row>
        <row r="3634">
          <cell r="A3634" t="str">
            <v/>
          </cell>
          <cell r="AS3634" t="str">
            <v>-</v>
          </cell>
        </row>
        <row r="3635">
          <cell r="A3635" t="str">
            <v/>
          </cell>
          <cell r="AS3635" t="str">
            <v>-</v>
          </cell>
        </row>
        <row r="3636">
          <cell r="A3636" t="str">
            <v/>
          </cell>
          <cell r="AS3636" t="str">
            <v>-</v>
          </cell>
        </row>
        <row r="3637">
          <cell r="A3637" t="str">
            <v/>
          </cell>
          <cell r="AS3637" t="str">
            <v>-</v>
          </cell>
        </row>
        <row r="3638">
          <cell r="A3638" t="str">
            <v/>
          </cell>
          <cell r="AS3638" t="str">
            <v>-</v>
          </cell>
        </row>
        <row r="3639">
          <cell r="A3639" t="str">
            <v/>
          </cell>
          <cell r="AS3639" t="str">
            <v>-</v>
          </cell>
        </row>
        <row r="3640">
          <cell r="A3640" t="str">
            <v/>
          </cell>
          <cell r="AS3640" t="str">
            <v>-</v>
          </cell>
        </row>
        <row r="3641">
          <cell r="A3641" t="str">
            <v/>
          </cell>
          <cell r="AS3641" t="str">
            <v>-</v>
          </cell>
        </row>
        <row r="3642">
          <cell r="A3642" t="str">
            <v/>
          </cell>
          <cell r="AS3642" t="str">
            <v>-</v>
          </cell>
        </row>
        <row r="3643">
          <cell r="A3643" t="str">
            <v/>
          </cell>
          <cell r="AS3643" t="str">
            <v>-</v>
          </cell>
        </row>
        <row r="3644">
          <cell r="A3644" t="str">
            <v/>
          </cell>
          <cell r="AS3644" t="str">
            <v>-</v>
          </cell>
        </row>
        <row r="3645">
          <cell r="A3645" t="str">
            <v/>
          </cell>
          <cell r="AS3645" t="str">
            <v>-</v>
          </cell>
        </row>
        <row r="3646">
          <cell r="A3646" t="str">
            <v/>
          </cell>
          <cell r="AS3646" t="str">
            <v>-</v>
          </cell>
        </row>
        <row r="3647">
          <cell r="A3647" t="str">
            <v/>
          </cell>
          <cell r="AS3647" t="str">
            <v>-</v>
          </cell>
        </row>
        <row r="3648">
          <cell r="A3648" t="str">
            <v/>
          </cell>
          <cell r="AS3648" t="str">
            <v>-</v>
          </cell>
        </row>
        <row r="3649">
          <cell r="A3649" t="str">
            <v/>
          </cell>
          <cell r="AS3649" t="str">
            <v>-</v>
          </cell>
        </row>
        <row r="3650">
          <cell r="A3650" t="str">
            <v/>
          </cell>
          <cell r="AS3650" t="str">
            <v>-</v>
          </cell>
        </row>
        <row r="3651">
          <cell r="A3651" t="str">
            <v/>
          </cell>
          <cell r="AS3651" t="str">
            <v>-</v>
          </cell>
        </row>
        <row r="3652">
          <cell r="A3652" t="str">
            <v/>
          </cell>
          <cell r="AS3652" t="str">
            <v>-</v>
          </cell>
        </row>
        <row r="3653">
          <cell r="A3653" t="str">
            <v/>
          </cell>
          <cell r="AS3653" t="str">
            <v>-</v>
          </cell>
        </row>
        <row r="3654">
          <cell r="A3654" t="str">
            <v/>
          </cell>
          <cell r="AS3654" t="str">
            <v>-</v>
          </cell>
        </row>
        <row r="3655">
          <cell r="A3655" t="str">
            <v/>
          </cell>
          <cell r="AS3655" t="str">
            <v>-</v>
          </cell>
        </row>
        <row r="3656">
          <cell r="A3656" t="str">
            <v/>
          </cell>
          <cell r="AS3656" t="str">
            <v>-</v>
          </cell>
        </row>
        <row r="3657">
          <cell r="A3657" t="str">
            <v/>
          </cell>
          <cell r="AS3657" t="str">
            <v>-</v>
          </cell>
        </row>
        <row r="3658">
          <cell r="A3658" t="str">
            <v/>
          </cell>
          <cell r="AS3658" t="str">
            <v>-</v>
          </cell>
        </row>
        <row r="3659">
          <cell r="A3659" t="str">
            <v/>
          </cell>
          <cell r="AS3659" t="str">
            <v>-</v>
          </cell>
        </row>
        <row r="3660">
          <cell r="A3660" t="str">
            <v/>
          </cell>
          <cell r="AS3660" t="str">
            <v>-</v>
          </cell>
        </row>
        <row r="3661">
          <cell r="A3661" t="str">
            <v/>
          </cell>
          <cell r="AS3661" t="str">
            <v>-</v>
          </cell>
        </row>
        <row r="3662">
          <cell r="A3662" t="str">
            <v/>
          </cell>
          <cell r="AS3662" t="str">
            <v>-</v>
          </cell>
        </row>
        <row r="3663">
          <cell r="A3663" t="str">
            <v/>
          </cell>
          <cell r="AS3663" t="str">
            <v>-</v>
          </cell>
        </row>
        <row r="3664">
          <cell r="A3664" t="str">
            <v/>
          </cell>
          <cell r="AS3664" t="str">
            <v>-</v>
          </cell>
        </row>
        <row r="3665">
          <cell r="A3665" t="str">
            <v/>
          </cell>
          <cell r="AS3665" t="str">
            <v>-</v>
          </cell>
        </row>
        <row r="3666">
          <cell r="A3666" t="str">
            <v/>
          </cell>
          <cell r="AS3666" t="str">
            <v>-</v>
          </cell>
        </row>
        <row r="3667">
          <cell r="A3667" t="str">
            <v/>
          </cell>
          <cell r="AS3667" t="str">
            <v>-</v>
          </cell>
        </row>
        <row r="3668">
          <cell r="A3668" t="str">
            <v/>
          </cell>
          <cell r="AS3668" t="str">
            <v>-</v>
          </cell>
        </row>
        <row r="3669">
          <cell r="A3669" t="str">
            <v/>
          </cell>
          <cell r="AS3669" t="str">
            <v>-</v>
          </cell>
        </row>
        <row r="3670">
          <cell r="A3670" t="str">
            <v/>
          </cell>
          <cell r="AS3670" t="str">
            <v>-</v>
          </cell>
        </row>
        <row r="3671">
          <cell r="A3671" t="str">
            <v/>
          </cell>
          <cell r="AS3671" t="str">
            <v>-</v>
          </cell>
        </row>
        <row r="3672">
          <cell r="A3672" t="str">
            <v/>
          </cell>
          <cell r="AS3672" t="str">
            <v>-</v>
          </cell>
        </row>
        <row r="3673">
          <cell r="A3673" t="str">
            <v/>
          </cell>
          <cell r="AS3673" t="str">
            <v>-</v>
          </cell>
        </row>
        <row r="3674">
          <cell r="A3674" t="str">
            <v/>
          </cell>
          <cell r="AS3674" t="str">
            <v>-</v>
          </cell>
        </row>
        <row r="3675">
          <cell r="A3675" t="str">
            <v/>
          </cell>
          <cell r="AS3675" t="str">
            <v>-</v>
          </cell>
        </row>
        <row r="3676">
          <cell r="A3676" t="str">
            <v/>
          </cell>
          <cell r="AS3676" t="str">
            <v>-</v>
          </cell>
        </row>
        <row r="3677">
          <cell r="A3677" t="str">
            <v/>
          </cell>
          <cell r="AS3677" t="str">
            <v>-</v>
          </cell>
        </row>
        <row r="3678">
          <cell r="A3678" t="str">
            <v/>
          </cell>
          <cell r="AS3678" t="str">
            <v>-</v>
          </cell>
        </row>
        <row r="3679">
          <cell r="A3679" t="str">
            <v/>
          </cell>
          <cell r="AS3679" t="str">
            <v>-</v>
          </cell>
        </row>
        <row r="3680">
          <cell r="A3680" t="str">
            <v/>
          </cell>
          <cell r="AS3680" t="str">
            <v>-</v>
          </cell>
        </row>
        <row r="3681">
          <cell r="A3681" t="str">
            <v/>
          </cell>
          <cell r="AS3681" t="str">
            <v>-</v>
          </cell>
        </row>
        <row r="3682">
          <cell r="A3682" t="str">
            <v/>
          </cell>
          <cell r="AS3682" t="str">
            <v>-</v>
          </cell>
        </row>
        <row r="3683">
          <cell r="A3683" t="str">
            <v/>
          </cell>
          <cell r="AS3683" t="str">
            <v>-</v>
          </cell>
        </row>
        <row r="3684">
          <cell r="A3684" t="str">
            <v/>
          </cell>
          <cell r="AS3684" t="str">
            <v>-</v>
          </cell>
        </row>
        <row r="3685">
          <cell r="A3685" t="str">
            <v/>
          </cell>
          <cell r="AS3685" t="str">
            <v>-</v>
          </cell>
        </row>
        <row r="3686">
          <cell r="A3686" t="str">
            <v/>
          </cell>
          <cell r="AS3686" t="str">
            <v>-</v>
          </cell>
        </row>
        <row r="3687">
          <cell r="A3687" t="str">
            <v/>
          </cell>
          <cell r="AS3687" t="str">
            <v>-</v>
          </cell>
        </row>
        <row r="3688">
          <cell r="A3688" t="str">
            <v/>
          </cell>
          <cell r="AS3688" t="str">
            <v>-</v>
          </cell>
        </row>
        <row r="3689">
          <cell r="A3689" t="str">
            <v/>
          </cell>
          <cell r="AS3689" t="str">
            <v>-</v>
          </cell>
        </row>
        <row r="3690">
          <cell r="A3690" t="str">
            <v/>
          </cell>
          <cell r="AS3690" t="str">
            <v>-</v>
          </cell>
        </row>
        <row r="3691">
          <cell r="A3691" t="str">
            <v/>
          </cell>
          <cell r="AS3691" t="str">
            <v>-</v>
          </cell>
        </row>
        <row r="3692">
          <cell r="A3692" t="str">
            <v/>
          </cell>
          <cell r="AS3692" t="str">
            <v>-</v>
          </cell>
        </row>
        <row r="3693">
          <cell r="A3693" t="str">
            <v/>
          </cell>
          <cell r="AS3693" t="str">
            <v>-</v>
          </cell>
        </row>
        <row r="3694">
          <cell r="A3694" t="str">
            <v/>
          </cell>
          <cell r="AS3694" t="str">
            <v>-</v>
          </cell>
        </row>
        <row r="3695">
          <cell r="A3695" t="str">
            <v/>
          </cell>
          <cell r="AS3695" t="str">
            <v>-</v>
          </cell>
        </row>
        <row r="3696">
          <cell r="A3696" t="str">
            <v/>
          </cell>
          <cell r="AS3696" t="str">
            <v>-</v>
          </cell>
        </row>
        <row r="3697">
          <cell r="A3697" t="str">
            <v/>
          </cell>
          <cell r="AS3697" t="str">
            <v>-</v>
          </cell>
        </row>
        <row r="3698">
          <cell r="A3698" t="str">
            <v/>
          </cell>
          <cell r="AS3698" t="str">
            <v>-</v>
          </cell>
        </row>
        <row r="3699">
          <cell r="A3699" t="str">
            <v/>
          </cell>
          <cell r="AS3699" t="str">
            <v>-</v>
          </cell>
        </row>
        <row r="3700">
          <cell r="A3700" t="str">
            <v/>
          </cell>
          <cell r="AS3700" t="str">
            <v>-</v>
          </cell>
        </row>
        <row r="3701">
          <cell r="A3701" t="str">
            <v/>
          </cell>
          <cell r="AS3701" t="str">
            <v>-</v>
          </cell>
        </row>
        <row r="3702">
          <cell r="A3702" t="str">
            <v/>
          </cell>
          <cell r="AS3702" t="str">
            <v>-</v>
          </cell>
        </row>
        <row r="3703">
          <cell r="A3703" t="str">
            <v/>
          </cell>
          <cell r="AS3703" t="str">
            <v>-</v>
          </cell>
        </row>
        <row r="3704">
          <cell r="A3704" t="str">
            <v/>
          </cell>
          <cell r="AS3704" t="str">
            <v>-</v>
          </cell>
        </row>
        <row r="3705">
          <cell r="A3705" t="str">
            <v/>
          </cell>
          <cell r="AS3705" t="str">
            <v>-</v>
          </cell>
        </row>
        <row r="3706">
          <cell r="A3706" t="str">
            <v/>
          </cell>
          <cell r="AS3706" t="str">
            <v>-</v>
          </cell>
        </row>
        <row r="3707">
          <cell r="A3707" t="str">
            <v/>
          </cell>
          <cell r="AS3707" t="str">
            <v>-</v>
          </cell>
        </row>
        <row r="3708">
          <cell r="A3708" t="str">
            <v/>
          </cell>
          <cell r="AS3708" t="str">
            <v>-</v>
          </cell>
        </row>
        <row r="3709">
          <cell r="A3709" t="str">
            <v/>
          </cell>
          <cell r="AS3709" t="str">
            <v>-</v>
          </cell>
        </row>
        <row r="3710">
          <cell r="A3710" t="str">
            <v/>
          </cell>
          <cell r="AS3710" t="str">
            <v>-</v>
          </cell>
        </row>
        <row r="3711">
          <cell r="A3711" t="str">
            <v/>
          </cell>
          <cell r="AS3711" t="str">
            <v>-</v>
          </cell>
        </row>
        <row r="3712">
          <cell r="A3712" t="str">
            <v/>
          </cell>
          <cell r="AS3712" t="str">
            <v>-</v>
          </cell>
        </row>
        <row r="3713">
          <cell r="A3713" t="str">
            <v/>
          </cell>
          <cell r="AS3713" t="str">
            <v>-</v>
          </cell>
        </row>
        <row r="3714">
          <cell r="A3714" t="str">
            <v/>
          </cell>
          <cell r="AS3714" t="str">
            <v>-</v>
          </cell>
        </row>
        <row r="3715">
          <cell r="A3715" t="str">
            <v/>
          </cell>
          <cell r="AS3715" t="str">
            <v>-</v>
          </cell>
        </row>
        <row r="3716">
          <cell r="A3716" t="str">
            <v/>
          </cell>
          <cell r="AS3716" t="str">
            <v>-</v>
          </cell>
        </row>
        <row r="3717">
          <cell r="A3717" t="str">
            <v/>
          </cell>
          <cell r="AS3717" t="str">
            <v>-</v>
          </cell>
        </row>
        <row r="3718">
          <cell r="A3718" t="str">
            <v/>
          </cell>
          <cell r="AS3718" t="str">
            <v>-</v>
          </cell>
        </row>
        <row r="3719">
          <cell r="A3719" t="str">
            <v/>
          </cell>
          <cell r="AS3719" t="str">
            <v>-</v>
          </cell>
        </row>
        <row r="3720">
          <cell r="A3720" t="str">
            <v/>
          </cell>
          <cell r="AS3720" t="str">
            <v>-</v>
          </cell>
        </row>
        <row r="3721">
          <cell r="A3721" t="str">
            <v/>
          </cell>
          <cell r="AS3721" t="str">
            <v>-</v>
          </cell>
        </row>
        <row r="3722">
          <cell r="A3722" t="str">
            <v/>
          </cell>
          <cell r="AS3722" t="str">
            <v>-</v>
          </cell>
        </row>
        <row r="3723">
          <cell r="A3723" t="str">
            <v/>
          </cell>
          <cell r="AS3723" t="str">
            <v>-</v>
          </cell>
        </row>
        <row r="3724">
          <cell r="A3724" t="str">
            <v/>
          </cell>
          <cell r="AS3724" t="str">
            <v>-</v>
          </cell>
        </row>
        <row r="3725">
          <cell r="A3725" t="str">
            <v/>
          </cell>
          <cell r="AS3725" t="str">
            <v>-</v>
          </cell>
        </row>
        <row r="3726">
          <cell r="A3726" t="str">
            <v/>
          </cell>
          <cell r="AS3726" t="str">
            <v>-</v>
          </cell>
        </row>
        <row r="3727">
          <cell r="A3727" t="str">
            <v/>
          </cell>
          <cell r="AS3727" t="str">
            <v>-</v>
          </cell>
        </row>
        <row r="3728">
          <cell r="A3728" t="str">
            <v/>
          </cell>
          <cell r="AS3728" t="str">
            <v>-</v>
          </cell>
        </row>
        <row r="3729">
          <cell r="A3729" t="str">
            <v/>
          </cell>
          <cell r="AS3729" t="str">
            <v>-</v>
          </cell>
        </row>
        <row r="3730">
          <cell r="A3730" t="str">
            <v/>
          </cell>
          <cell r="AS3730" t="str">
            <v>-</v>
          </cell>
        </row>
        <row r="3731">
          <cell r="A3731" t="str">
            <v/>
          </cell>
          <cell r="AS3731" t="str">
            <v>-</v>
          </cell>
        </row>
        <row r="3732">
          <cell r="A3732" t="str">
            <v/>
          </cell>
          <cell r="AS3732" t="str">
            <v>-</v>
          </cell>
        </row>
        <row r="3733">
          <cell r="A3733" t="str">
            <v/>
          </cell>
          <cell r="AS3733" t="str">
            <v>-</v>
          </cell>
        </row>
        <row r="3734">
          <cell r="A3734" t="str">
            <v/>
          </cell>
          <cell r="AS3734" t="str">
            <v>-</v>
          </cell>
        </row>
        <row r="3735">
          <cell r="A3735" t="str">
            <v/>
          </cell>
          <cell r="AS3735" t="str">
            <v>-</v>
          </cell>
        </row>
        <row r="3736">
          <cell r="A3736" t="str">
            <v/>
          </cell>
          <cell r="AS3736" t="str">
            <v>-</v>
          </cell>
        </row>
        <row r="3737">
          <cell r="A3737" t="str">
            <v/>
          </cell>
          <cell r="AS3737" t="str">
            <v>-</v>
          </cell>
        </row>
        <row r="3738">
          <cell r="A3738" t="str">
            <v/>
          </cell>
          <cell r="AS3738" t="str">
            <v>-</v>
          </cell>
        </row>
        <row r="3739">
          <cell r="A3739" t="str">
            <v/>
          </cell>
          <cell r="AS3739" t="str">
            <v>-</v>
          </cell>
        </row>
        <row r="3740">
          <cell r="A3740" t="str">
            <v/>
          </cell>
          <cell r="AS3740" t="str">
            <v>-</v>
          </cell>
        </row>
        <row r="3741">
          <cell r="A3741" t="str">
            <v/>
          </cell>
          <cell r="AS3741" t="str">
            <v>-</v>
          </cell>
        </row>
        <row r="3742">
          <cell r="A3742" t="str">
            <v/>
          </cell>
          <cell r="AS3742" t="str">
            <v>-</v>
          </cell>
        </row>
        <row r="3743">
          <cell r="A3743" t="str">
            <v/>
          </cell>
          <cell r="AS3743" t="str">
            <v>-</v>
          </cell>
        </row>
        <row r="3744">
          <cell r="A3744" t="str">
            <v/>
          </cell>
          <cell r="AS3744" t="str">
            <v>-</v>
          </cell>
        </row>
        <row r="3745">
          <cell r="A3745" t="str">
            <v/>
          </cell>
          <cell r="AS3745" t="str">
            <v>-</v>
          </cell>
        </row>
        <row r="3746">
          <cell r="A3746" t="str">
            <v/>
          </cell>
          <cell r="AS3746" t="str">
            <v>-</v>
          </cell>
        </row>
        <row r="3747">
          <cell r="A3747" t="str">
            <v/>
          </cell>
          <cell r="AS3747" t="str">
            <v>-</v>
          </cell>
        </row>
        <row r="3748">
          <cell r="A3748" t="str">
            <v/>
          </cell>
          <cell r="AS3748" t="str">
            <v>-</v>
          </cell>
        </row>
        <row r="3749">
          <cell r="A3749" t="str">
            <v/>
          </cell>
          <cell r="AS3749" t="str">
            <v>-</v>
          </cell>
        </row>
        <row r="3750">
          <cell r="A3750" t="str">
            <v/>
          </cell>
          <cell r="AS3750" t="str">
            <v>-</v>
          </cell>
        </row>
        <row r="3751">
          <cell r="A3751" t="str">
            <v/>
          </cell>
          <cell r="AS3751" t="str">
            <v>-</v>
          </cell>
        </row>
        <row r="3752">
          <cell r="A3752" t="str">
            <v/>
          </cell>
          <cell r="AS3752" t="str">
            <v>-</v>
          </cell>
        </row>
        <row r="3753">
          <cell r="A3753" t="str">
            <v/>
          </cell>
          <cell r="AS3753" t="str">
            <v>-</v>
          </cell>
        </row>
        <row r="3754">
          <cell r="A3754" t="str">
            <v/>
          </cell>
          <cell r="AS3754" t="str">
            <v>-</v>
          </cell>
        </row>
        <row r="3755">
          <cell r="A3755" t="str">
            <v/>
          </cell>
          <cell r="AS3755" t="str">
            <v>-</v>
          </cell>
        </row>
        <row r="3756">
          <cell r="A3756" t="str">
            <v/>
          </cell>
          <cell r="AS3756" t="str">
            <v>-</v>
          </cell>
        </row>
        <row r="3757">
          <cell r="A3757" t="str">
            <v/>
          </cell>
          <cell r="AS3757" t="str">
            <v>-</v>
          </cell>
        </row>
        <row r="3758">
          <cell r="A3758" t="str">
            <v/>
          </cell>
          <cell r="AS3758" t="str">
            <v>-</v>
          </cell>
        </row>
        <row r="3759">
          <cell r="A3759" t="str">
            <v/>
          </cell>
          <cell r="AS3759" t="str">
            <v>-</v>
          </cell>
        </row>
        <row r="3760">
          <cell r="A3760" t="str">
            <v/>
          </cell>
          <cell r="AS3760" t="str">
            <v>-</v>
          </cell>
        </row>
        <row r="3761">
          <cell r="A3761" t="str">
            <v/>
          </cell>
          <cell r="AS3761" t="str">
            <v>-</v>
          </cell>
        </row>
        <row r="3762">
          <cell r="A3762" t="str">
            <v/>
          </cell>
          <cell r="AS3762" t="str">
            <v>-</v>
          </cell>
        </row>
        <row r="3763">
          <cell r="A3763" t="str">
            <v/>
          </cell>
          <cell r="AS3763" t="str">
            <v>-</v>
          </cell>
        </row>
        <row r="3764">
          <cell r="A3764" t="str">
            <v/>
          </cell>
          <cell r="AS3764" t="str">
            <v>-</v>
          </cell>
        </row>
        <row r="3765">
          <cell r="A3765" t="str">
            <v/>
          </cell>
          <cell r="AS3765" t="str">
            <v>-</v>
          </cell>
        </row>
        <row r="3766">
          <cell r="A3766" t="str">
            <v/>
          </cell>
          <cell r="AS3766" t="str">
            <v>-</v>
          </cell>
        </row>
        <row r="3767">
          <cell r="A3767" t="str">
            <v/>
          </cell>
          <cell r="AS3767" t="str">
            <v>-</v>
          </cell>
        </row>
        <row r="3768">
          <cell r="A3768" t="str">
            <v/>
          </cell>
          <cell r="AS3768" t="str">
            <v>-</v>
          </cell>
        </row>
        <row r="3769">
          <cell r="A3769" t="str">
            <v/>
          </cell>
          <cell r="AS3769" t="str">
            <v>-</v>
          </cell>
        </row>
        <row r="3770">
          <cell r="A3770" t="str">
            <v/>
          </cell>
          <cell r="AS3770" t="str">
            <v>-</v>
          </cell>
        </row>
        <row r="3771">
          <cell r="A3771" t="str">
            <v/>
          </cell>
          <cell r="AS3771" t="str">
            <v>-</v>
          </cell>
        </row>
        <row r="3772">
          <cell r="A3772" t="str">
            <v/>
          </cell>
          <cell r="AS3772" t="str">
            <v>-</v>
          </cell>
        </row>
        <row r="3773">
          <cell r="A3773" t="str">
            <v/>
          </cell>
          <cell r="AS3773" t="str">
            <v>-</v>
          </cell>
        </row>
        <row r="3774">
          <cell r="A3774" t="str">
            <v/>
          </cell>
          <cell r="AS3774" t="str">
            <v>-</v>
          </cell>
        </row>
        <row r="3775">
          <cell r="A3775" t="str">
            <v/>
          </cell>
          <cell r="AS3775" t="str">
            <v>-</v>
          </cell>
        </row>
        <row r="3776">
          <cell r="A3776" t="str">
            <v/>
          </cell>
          <cell r="AS3776" t="str">
            <v>-</v>
          </cell>
        </row>
        <row r="3777">
          <cell r="A3777" t="str">
            <v/>
          </cell>
          <cell r="AS3777" t="str">
            <v>-</v>
          </cell>
        </row>
        <row r="3778">
          <cell r="A3778" t="str">
            <v/>
          </cell>
          <cell r="AS3778" t="str">
            <v>-</v>
          </cell>
        </row>
        <row r="3779">
          <cell r="A3779" t="str">
            <v/>
          </cell>
          <cell r="AS3779" t="str">
            <v>-</v>
          </cell>
        </row>
        <row r="3780">
          <cell r="A3780" t="str">
            <v/>
          </cell>
          <cell r="AS3780" t="str">
            <v>-</v>
          </cell>
        </row>
        <row r="3781">
          <cell r="A3781" t="str">
            <v/>
          </cell>
          <cell r="AS3781" t="str">
            <v>-</v>
          </cell>
        </row>
        <row r="3782">
          <cell r="A3782" t="str">
            <v/>
          </cell>
          <cell r="AS3782" t="str">
            <v>-</v>
          </cell>
        </row>
        <row r="3783">
          <cell r="A3783" t="str">
            <v/>
          </cell>
          <cell r="AS3783" t="str">
            <v>-</v>
          </cell>
        </row>
        <row r="3784">
          <cell r="A3784" t="str">
            <v/>
          </cell>
          <cell r="AS3784" t="str">
            <v>-</v>
          </cell>
        </row>
        <row r="3785">
          <cell r="A3785" t="str">
            <v/>
          </cell>
          <cell r="AS3785" t="str">
            <v>-</v>
          </cell>
        </row>
        <row r="3786">
          <cell r="A3786" t="str">
            <v/>
          </cell>
          <cell r="AS3786" t="str">
            <v>-</v>
          </cell>
        </row>
        <row r="3787">
          <cell r="A3787" t="str">
            <v/>
          </cell>
          <cell r="AS3787" t="str">
            <v>-</v>
          </cell>
        </row>
        <row r="3788">
          <cell r="A3788" t="str">
            <v/>
          </cell>
          <cell r="AS3788" t="str">
            <v>-</v>
          </cell>
        </row>
        <row r="3789">
          <cell r="A3789" t="str">
            <v/>
          </cell>
          <cell r="AS3789" t="str">
            <v>-</v>
          </cell>
        </row>
        <row r="3790">
          <cell r="A3790" t="str">
            <v/>
          </cell>
          <cell r="AS3790" t="str">
            <v>-</v>
          </cell>
        </row>
        <row r="3791">
          <cell r="A3791" t="str">
            <v/>
          </cell>
          <cell r="AS3791" t="str">
            <v>-</v>
          </cell>
        </row>
        <row r="3792">
          <cell r="A3792" t="str">
            <v/>
          </cell>
          <cell r="AS3792" t="str">
            <v>-</v>
          </cell>
        </row>
        <row r="3793">
          <cell r="A3793" t="str">
            <v/>
          </cell>
          <cell r="AS3793" t="str">
            <v>-</v>
          </cell>
        </row>
        <row r="3794">
          <cell r="A3794" t="str">
            <v/>
          </cell>
          <cell r="AS3794" t="str">
            <v>-</v>
          </cell>
        </row>
        <row r="3795">
          <cell r="A3795" t="str">
            <v/>
          </cell>
          <cell r="AS3795" t="str">
            <v>-</v>
          </cell>
        </row>
        <row r="3796">
          <cell r="A3796" t="str">
            <v/>
          </cell>
          <cell r="AS3796" t="str">
            <v>-</v>
          </cell>
        </row>
        <row r="3797">
          <cell r="A3797" t="str">
            <v/>
          </cell>
          <cell r="AS3797" t="str">
            <v>-</v>
          </cell>
        </row>
        <row r="3798">
          <cell r="A3798" t="str">
            <v/>
          </cell>
          <cell r="AS3798" t="str">
            <v>-</v>
          </cell>
        </row>
        <row r="3799">
          <cell r="A3799" t="str">
            <v/>
          </cell>
          <cell r="AS3799" t="str">
            <v>-</v>
          </cell>
        </row>
        <row r="3800">
          <cell r="A3800" t="str">
            <v/>
          </cell>
          <cell r="AS3800" t="str">
            <v>-</v>
          </cell>
        </row>
        <row r="3801">
          <cell r="A3801" t="str">
            <v/>
          </cell>
          <cell r="AS3801" t="str">
            <v>-</v>
          </cell>
        </row>
        <row r="3802">
          <cell r="A3802" t="str">
            <v/>
          </cell>
          <cell r="AS3802" t="str">
            <v>-</v>
          </cell>
        </row>
        <row r="3803">
          <cell r="A3803" t="str">
            <v/>
          </cell>
          <cell r="AS3803" t="str">
            <v>-</v>
          </cell>
        </row>
        <row r="3804">
          <cell r="A3804" t="str">
            <v/>
          </cell>
          <cell r="AS3804" t="str">
            <v>-</v>
          </cell>
        </row>
        <row r="3805">
          <cell r="A3805" t="str">
            <v/>
          </cell>
          <cell r="AS3805" t="str">
            <v>-</v>
          </cell>
        </row>
        <row r="3806">
          <cell r="A3806" t="str">
            <v/>
          </cell>
          <cell r="AS3806" t="str">
            <v>-</v>
          </cell>
        </row>
        <row r="3807">
          <cell r="A3807" t="str">
            <v/>
          </cell>
          <cell r="AS3807" t="str">
            <v>-</v>
          </cell>
        </row>
        <row r="3808">
          <cell r="A3808" t="str">
            <v/>
          </cell>
          <cell r="AS3808" t="str">
            <v>-</v>
          </cell>
        </row>
        <row r="3809">
          <cell r="A3809" t="str">
            <v/>
          </cell>
          <cell r="AS3809" t="str">
            <v>-</v>
          </cell>
        </row>
        <row r="3810">
          <cell r="A3810" t="str">
            <v/>
          </cell>
          <cell r="AS3810" t="str">
            <v>-</v>
          </cell>
        </row>
        <row r="3811">
          <cell r="A3811" t="str">
            <v/>
          </cell>
          <cell r="AS3811" t="str">
            <v>-</v>
          </cell>
        </row>
        <row r="3812">
          <cell r="A3812" t="str">
            <v/>
          </cell>
          <cell r="AS3812" t="str">
            <v>-</v>
          </cell>
        </row>
        <row r="3813">
          <cell r="A3813" t="str">
            <v/>
          </cell>
          <cell r="AS3813" t="str">
            <v>-</v>
          </cell>
        </row>
        <row r="3814">
          <cell r="A3814" t="str">
            <v/>
          </cell>
          <cell r="AS3814" t="str">
            <v>-</v>
          </cell>
        </row>
        <row r="3815">
          <cell r="A3815" t="str">
            <v/>
          </cell>
          <cell r="AS3815" t="str">
            <v>-</v>
          </cell>
        </row>
        <row r="3816">
          <cell r="A3816" t="str">
            <v/>
          </cell>
          <cell r="AS3816" t="str">
            <v>-</v>
          </cell>
        </row>
        <row r="3817">
          <cell r="A3817" t="str">
            <v/>
          </cell>
          <cell r="AS3817" t="str">
            <v>-</v>
          </cell>
        </row>
        <row r="3818">
          <cell r="A3818" t="str">
            <v/>
          </cell>
          <cell r="AS3818" t="str">
            <v>-</v>
          </cell>
        </row>
        <row r="3819">
          <cell r="A3819" t="str">
            <v/>
          </cell>
          <cell r="AS3819" t="str">
            <v>-</v>
          </cell>
        </row>
        <row r="3820">
          <cell r="A3820" t="str">
            <v/>
          </cell>
          <cell r="AS3820" t="str">
            <v>-</v>
          </cell>
        </row>
        <row r="3821">
          <cell r="A3821" t="str">
            <v/>
          </cell>
          <cell r="AS3821" t="str">
            <v>-</v>
          </cell>
        </row>
        <row r="3822">
          <cell r="A3822" t="str">
            <v/>
          </cell>
          <cell r="AS3822" t="str">
            <v>-</v>
          </cell>
        </row>
        <row r="3823">
          <cell r="A3823" t="str">
            <v/>
          </cell>
          <cell r="AS3823" t="str">
            <v>-</v>
          </cell>
        </row>
        <row r="3824">
          <cell r="A3824" t="str">
            <v/>
          </cell>
          <cell r="AS3824" t="str">
            <v>-</v>
          </cell>
        </row>
        <row r="3825">
          <cell r="A3825" t="str">
            <v/>
          </cell>
          <cell r="AS3825" t="str">
            <v>-</v>
          </cell>
        </row>
        <row r="3826">
          <cell r="A3826" t="str">
            <v/>
          </cell>
          <cell r="AS3826" t="str">
            <v>-</v>
          </cell>
        </row>
        <row r="3827">
          <cell r="A3827" t="str">
            <v/>
          </cell>
          <cell r="AS3827" t="str">
            <v>-</v>
          </cell>
        </row>
        <row r="3828">
          <cell r="A3828" t="str">
            <v/>
          </cell>
          <cell r="AS3828" t="str">
            <v>-</v>
          </cell>
        </row>
        <row r="3829">
          <cell r="A3829" t="str">
            <v/>
          </cell>
          <cell r="AS3829" t="str">
            <v>-</v>
          </cell>
        </row>
        <row r="3830">
          <cell r="A3830" t="str">
            <v/>
          </cell>
          <cell r="AS3830" t="str">
            <v>-</v>
          </cell>
        </row>
        <row r="3831">
          <cell r="A3831" t="str">
            <v/>
          </cell>
          <cell r="AS3831" t="str">
            <v>-</v>
          </cell>
        </row>
        <row r="3832">
          <cell r="A3832" t="str">
            <v/>
          </cell>
          <cell r="AS3832" t="str">
            <v>-</v>
          </cell>
        </row>
        <row r="3833">
          <cell r="A3833" t="str">
            <v/>
          </cell>
          <cell r="AS3833" t="str">
            <v>-</v>
          </cell>
        </row>
        <row r="3834">
          <cell r="A3834" t="str">
            <v/>
          </cell>
          <cell r="AS3834" t="str">
            <v>-</v>
          </cell>
        </row>
        <row r="3835">
          <cell r="A3835" t="str">
            <v/>
          </cell>
          <cell r="AS3835" t="str">
            <v>-</v>
          </cell>
        </row>
        <row r="3836">
          <cell r="A3836" t="str">
            <v/>
          </cell>
          <cell r="AS3836" t="str">
            <v>-</v>
          </cell>
        </row>
        <row r="3837">
          <cell r="A3837" t="str">
            <v/>
          </cell>
          <cell r="AS3837" t="str">
            <v>-</v>
          </cell>
        </row>
        <row r="3838">
          <cell r="A3838" t="str">
            <v/>
          </cell>
          <cell r="AS3838" t="str">
            <v>-</v>
          </cell>
        </row>
        <row r="3839">
          <cell r="A3839" t="str">
            <v/>
          </cell>
          <cell r="AS3839" t="str">
            <v>-</v>
          </cell>
        </row>
        <row r="3840">
          <cell r="A3840" t="str">
            <v/>
          </cell>
          <cell r="AS3840" t="str">
            <v>-</v>
          </cell>
        </row>
        <row r="3841">
          <cell r="A3841" t="str">
            <v/>
          </cell>
          <cell r="AS3841" t="str">
            <v>-</v>
          </cell>
        </row>
        <row r="3842">
          <cell r="A3842" t="str">
            <v/>
          </cell>
          <cell r="AS3842" t="str">
            <v>-</v>
          </cell>
        </row>
        <row r="3843">
          <cell r="A3843" t="str">
            <v/>
          </cell>
          <cell r="AS3843" t="str">
            <v>-</v>
          </cell>
        </row>
        <row r="3844">
          <cell r="A3844" t="str">
            <v/>
          </cell>
          <cell r="AS3844" t="str">
            <v>-</v>
          </cell>
        </row>
        <row r="3845">
          <cell r="A3845" t="str">
            <v/>
          </cell>
          <cell r="AS3845" t="str">
            <v>-</v>
          </cell>
        </row>
        <row r="3846">
          <cell r="A3846" t="str">
            <v/>
          </cell>
          <cell r="AS3846" t="str">
            <v>-</v>
          </cell>
        </row>
        <row r="3847">
          <cell r="A3847" t="str">
            <v/>
          </cell>
          <cell r="AS3847" t="str">
            <v>-</v>
          </cell>
        </row>
        <row r="3848">
          <cell r="A3848" t="str">
            <v/>
          </cell>
          <cell r="AS3848" t="str">
            <v>-</v>
          </cell>
        </row>
        <row r="3849">
          <cell r="A3849" t="str">
            <v/>
          </cell>
          <cell r="AS3849" t="str">
            <v>-</v>
          </cell>
        </row>
        <row r="3850">
          <cell r="A3850" t="str">
            <v/>
          </cell>
          <cell r="AS3850" t="str">
            <v>-</v>
          </cell>
        </row>
        <row r="3851">
          <cell r="A3851" t="str">
            <v/>
          </cell>
          <cell r="AS3851" t="str">
            <v>-</v>
          </cell>
        </row>
        <row r="3852">
          <cell r="A3852" t="str">
            <v/>
          </cell>
          <cell r="AS3852" t="str">
            <v>-</v>
          </cell>
        </row>
        <row r="3853">
          <cell r="A3853" t="str">
            <v/>
          </cell>
          <cell r="AS3853" t="str">
            <v>-</v>
          </cell>
        </row>
        <row r="3854">
          <cell r="A3854" t="str">
            <v/>
          </cell>
          <cell r="AS3854" t="str">
            <v>-</v>
          </cell>
        </row>
        <row r="3855">
          <cell r="A3855" t="str">
            <v/>
          </cell>
          <cell r="AS3855" t="str">
            <v>-</v>
          </cell>
        </row>
        <row r="3856">
          <cell r="A3856" t="str">
            <v/>
          </cell>
          <cell r="AS3856" t="str">
            <v>-</v>
          </cell>
        </row>
        <row r="3857">
          <cell r="A3857" t="str">
            <v/>
          </cell>
          <cell r="AS3857" t="str">
            <v>-</v>
          </cell>
        </row>
        <row r="3858">
          <cell r="A3858" t="str">
            <v/>
          </cell>
          <cell r="AS3858" t="str">
            <v>-</v>
          </cell>
        </row>
        <row r="3859">
          <cell r="A3859" t="str">
            <v/>
          </cell>
          <cell r="AS3859" t="str">
            <v>-</v>
          </cell>
        </row>
        <row r="3860">
          <cell r="A3860" t="str">
            <v/>
          </cell>
          <cell r="AS3860" t="str">
            <v>-</v>
          </cell>
        </row>
        <row r="3861">
          <cell r="A3861" t="str">
            <v/>
          </cell>
          <cell r="AS3861" t="str">
            <v>-</v>
          </cell>
        </row>
        <row r="3862">
          <cell r="A3862" t="str">
            <v/>
          </cell>
          <cell r="AS3862" t="str">
            <v>-</v>
          </cell>
        </row>
        <row r="3863">
          <cell r="A3863" t="str">
            <v/>
          </cell>
          <cell r="AS3863" t="str">
            <v>-</v>
          </cell>
        </row>
        <row r="3864">
          <cell r="A3864" t="str">
            <v/>
          </cell>
          <cell r="AS3864" t="str">
            <v>-</v>
          </cell>
        </row>
        <row r="3865">
          <cell r="A3865" t="str">
            <v/>
          </cell>
          <cell r="AS3865" t="str">
            <v>-</v>
          </cell>
        </row>
        <row r="3866">
          <cell r="A3866" t="str">
            <v/>
          </cell>
          <cell r="AS3866" t="str">
            <v>-</v>
          </cell>
        </row>
        <row r="3867">
          <cell r="A3867" t="str">
            <v/>
          </cell>
          <cell r="AS3867" t="str">
            <v>-</v>
          </cell>
        </row>
        <row r="3868">
          <cell r="A3868" t="str">
            <v/>
          </cell>
          <cell r="AS3868" t="str">
            <v>-</v>
          </cell>
        </row>
        <row r="3869">
          <cell r="A3869" t="str">
            <v/>
          </cell>
          <cell r="AS3869" t="str">
            <v>-</v>
          </cell>
        </row>
        <row r="3870">
          <cell r="A3870" t="str">
            <v/>
          </cell>
          <cell r="AS3870" t="str">
            <v>-</v>
          </cell>
        </row>
        <row r="3871">
          <cell r="A3871" t="str">
            <v/>
          </cell>
          <cell r="AS3871" t="str">
            <v>-</v>
          </cell>
        </row>
        <row r="3872">
          <cell r="A3872" t="str">
            <v/>
          </cell>
          <cell r="AS3872" t="str">
            <v>-</v>
          </cell>
        </row>
        <row r="3873">
          <cell r="A3873" t="str">
            <v/>
          </cell>
          <cell r="AS3873" t="str">
            <v>-</v>
          </cell>
        </row>
        <row r="3874">
          <cell r="A3874" t="str">
            <v/>
          </cell>
          <cell r="AS3874" t="str">
            <v>-</v>
          </cell>
        </row>
        <row r="3875">
          <cell r="A3875" t="str">
            <v/>
          </cell>
          <cell r="AS3875" t="str">
            <v>-</v>
          </cell>
        </row>
        <row r="3876">
          <cell r="A3876" t="str">
            <v/>
          </cell>
          <cell r="AS3876" t="str">
            <v>-</v>
          </cell>
        </row>
        <row r="3877">
          <cell r="A3877" t="str">
            <v/>
          </cell>
          <cell r="AS3877" t="str">
            <v>-</v>
          </cell>
        </row>
        <row r="3878">
          <cell r="A3878" t="str">
            <v/>
          </cell>
          <cell r="AS3878" t="str">
            <v>-</v>
          </cell>
        </row>
        <row r="3879">
          <cell r="A3879" t="str">
            <v/>
          </cell>
          <cell r="AS3879" t="str">
            <v>-</v>
          </cell>
        </row>
        <row r="3880">
          <cell r="A3880" t="str">
            <v/>
          </cell>
          <cell r="AS3880" t="str">
            <v>-</v>
          </cell>
        </row>
        <row r="3881">
          <cell r="A3881" t="str">
            <v/>
          </cell>
          <cell r="AS3881" t="str">
            <v>-</v>
          </cell>
        </row>
        <row r="3882">
          <cell r="A3882" t="str">
            <v/>
          </cell>
          <cell r="AS3882" t="str">
            <v>-</v>
          </cell>
        </row>
        <row r="3883">
          <cell r="A3883" t="str">
            <v/>
          </cell>
          <cell r="AS3883" t="str">
            <v>-</v>
          </cell>
        </row>
        <row r="3884">
          <cell r="A3884" t="str">
            <v/>
          </cell>
          <cell r="AS3884" t="str">
            <v>-</v>
          </cell>
        </row>
        <row r="3885">
          <cell r="A3885" t="str">
            <v/>
          </cell>
          <cell r="AS3885" t="str">
            <v>-</v>
          </cell>
        </row>
        <row r="3886">
          <cell r="A3886" t="str">
            <v/>
          </cell>
          <cell r="AS3886" t="str">
            <v>-</v>
          </cell>
        </row>
        <row r="3887">
          <cell r="A3887" t="str">
            <v/>
          </cell>
          <cell r="AS3887" t="str">
            <v>-</v>
          </cell>
        </row>
        <row r="3888">
          <cell r="A3888" t="str">
            <v/>
          </cell>
          <cell r="AS3888" t="str">
            <v>-</v>
          </cell>
        </row>
        <row r="3889">
          <cell r="A3889" t="str">
            <v/>
          </cell>
          <cell r="AS3889" t="str">
            <v>-</v>
          </cell>
        </row>
        <row r="3890">
          <cell r="A3890" t="str">
            <v/>
          </cell>
          <cell r="AS3890" t="str">
            <v>-</v>
          </cell>
        </row>
        <row r="3891">
          <cell r="A3891" t="str">
            <v/>
          </cell>
          <cell r="AS3891" t="str">
            <v>-</v>
          </cell>
        </row>
        <row r="3892">
          <cell r="A3892" t="str">
            <v/>
          </cell>
          <cell r="AS3892" t="str">
            <v>-</v>
          </cell>
        </row>
        <row r="3893">
          <cell r="A3893" t="str">
            <v/>
          </cell>
          <cell r="AS3893" t="str">
            <v>-</v>
          </cell>
        </row>
        <row r="3894">
          <cell r="A3894" t="str">
            <v/>
          </cell>
          <cell r="AS3894" t="str">
            <v>-</v>
          </cell>
        </row>
        <row r="3895">
          <cell r="A3895" t="str">
            <v/>
          </cell>
          <cell r="AS3895" t="str">
            <v>-</v>
          </cell>
        </row>
        <row r="3896">
          <cell r="A3896" t="str">
            <v/>
          </cell>
          <cell r="AS3896" t="str">
            <v>-</v>
          </cell>
        </row>
        <row r="3897">
          <cell r="A3897" t="str">
            <v/>
          </cell>
          <cell r="AS3897" t="str">
            <v>-</v>
          </cell>
        </row>
        <row r="3898">
          <cell r="A3898" t="str">
            <v/>
          </cell>
          <cell r="AS3898" t="str">
            <v>-</v>
          </cell>
        </row>
        <row r="3899">
          <cell r="A3899" t="str">
            <v/>
          </cell>
          <cell r="AS3899" t="str">
            <v>-</v>
          </cell>
        </row>
        <row r="3900">
          <cell r="A3900" t="str">
            <v/>
          </cell>
          <cell r="AS3900" t="str">
            <v>-</v>
          </cell>
        </row>
        <row r="3901">
          <cell r="A3901" t="str">
            <v/>
          </cell>
          <cell r="AS3901" t="str">
            <v>-</v>
          </cell>
        </row>
        <row r="3902">
          <cell r="A3902" t="str">
            <v/>
          </cell>
          <cell r="AS3902" t="str">
            <v>-</v>
          </cell>
        </row>
        <row r="3903">
          <cell r="A3903" t="str">
            <v/>
          </cell>
          <cell r="AS3903" t="str">
            <v>-</v>
          </cell>
        </row>
        <row r="3904">
          <cell r="A3904" t="str">
            <v/>
          </cell>
          <cell r="AS3904" t="str">
            <v>-</v>
          </cell>
        </row>
        <row r="3905">
          <cell r="A3905" t="str">
            <v/>
          </cell>
          <cell r="AS3905" t="str">
            <v>-</v>
          </cell>
        </row>
        <row r="3906">
          <cell r="A3906" t="str">
            <v/>
          </cell>
          <cell r="AS3906" t="str">
            <v>-</v>
          </cell>
        </row>
        <row r="3907">
          <cell r="A3907" t="str">
            <v/>
          </cell>
          <cell r="AS3907" t="str">
            <v>-</v>
          </cell>
        </row>
        <row r="3908">
          <cell r="A3908" t="str">
            <v/>
          </cell>
          <cell r="AS3908" t="str">
            <v>-</v>
          </cell>
        </row>
        <row r="3909">
          <cell r="A3909" t="str">
            <v/>
          </cell>
          <cell r="AS3909" t="str">
            <v>-</v>
          </cell>
        </row>
        <row r="3910">
          <cell r="A3910" t="str">
            <v/>
          </cell>
          <cell r="AS3910" t="str">
            <v>-</v>
          </cell>
        </row>
        <row r="3911">
          <cell r="A3911" t="str">
            <v/>
          </cell>
          <cell r="AS3911" t="str">
            <v>-</v>
          </cell>
        </row>
        <row r="3912">
          <cell r="A3912" t="str">
            <v/>
          </cell>
          <cell r="AS3912" t="str">
            <v>-</v>
          </cell>
        </row>
        <row r="3913">
          <cell r="A3913" t="str">
            <v/>
          </cell>
          <cell r="AS3913" t="str">
            <v>-</v>
          </cell>
        </row>
        <row r="3914">
          <cell r="A3914" t="str">
            <v/>
          </cell>
          <cell r="AS3914" t="str">
            <v>-</v>
          </cell>
        </row>
        <row r="3915">
          <cell r="A3915" t="str">
            <v/>
          </cell>
          <cell r="AS3915" t="str">
            <v>-</v>
          </cell>
        </row>
        <row r="3916">
          <cell r="A3916" t="str">
            <v/>
          </cell>
          <cell r="AS3916" t="str">
            <v>-</v>
          </cell>
        </row>
        <row r="3917">
          <cell r="A3917" t="str">
            <v/>
          </cell>
          <cell r="AS3917" t="str">
            <v>-</v>
          </cell>
        </row>
        <row r="3918">
          <cell r="A3918" t="str">
            <v/>
          </cell>
          <cell r="AS3918" t="str">
            <v>-</v>
          </cell>
        </row>
        <row r="3919">
          <cell r="A3919" t="str">
            <v/>
          </cell>
          <cell r="AS3919" t="str">
            <v>-</v>
          </cell>
        </row>
        <row r="3920">
          <cell r="A3920" t="str">
            <v/>
          </cell>
          <cell r="AS3920" t="str">
            <v>-</v>
          </cell>
        </row>
        <row r="3921">
          <cell r="A3921" t="str">
            <v/>
          </cell>
          <cell r="AS3921" t="str">
            <v>-</v>
          </cell>
        </row>
        <row r="3922">
          <cell r="A3922" t="str">
            <v/>
          </cell>
          <cell r="AS3922" t="str">
            <v>-</v>
          </cell>
        </row>
        <row r="3923">
          <cell r="A3923" t="str">
            <v/>
          </cell>
          <cell r="AS3923" t="str">
            <v>-</v>
          </cell>
        </row>
        <row r="3924">
          <cell r="A3924" t="str">
            <v/>
          </cell>
          <cell r="AS3924" t="str">
            <v>-</v>
          </cell>
        </row>
        <row r="3925">
          <cell r="A3925" t="str">
            <v/>
          </cell>
          <cell r="AS3925" t="str">
            <v>-</v>
          </cell>
        </row>
        <row r="3926">
          <cell r="A3926" t="str">
            <v/>
          </cell>
          <cell r="AS3926" t="str">
            <v>-</v>
          </cell>
        </row>
        <row r="3927">
          <cell r="A3927" t="str">
            <v/>
          </cell>
          <cell r="AS3927" t="str">
            <v>-</v>
          </cell>
        </row>
        <row r="3928">
          <cell r="A3928" t="str">
            <v/>
          </cell>
          <cell r="AS3928" t="str">
            <v>-</v>
          </cell>
        </row>
        <row r="3929">
          <cell r="A3929" t="str">
            <v/>
          </cell>
          <cell r="AS3929" t="str">
            <v>-</v>
          </cell>
        </row>
        <row r="3930">
          <cell r="A3930" t="str">
            <v/>
          </cell>
          <cell r="AS3930" t="str">
            <v>-</v>
          </cell>
        </row>
        <row r="3931">
          <cell r="A3931" t="str">
            <v/>
          </cell>
          <cell r="AS3931" t="str">
            <v>-</v>
          </cell>
        </row>
        <row r="3932">
          <cell r="A3932" t="str">
            <v/>
          </cell>
          <cell r="AS3932" t="str">
            <v>-</v>
          </cell>
        </row>
        <row r="3933">
          <cell r="A3933" t="str">
            <v/>
          </cell>
          <cell r="AS3933" t="str">
            <v>-</v>
          </cell>
        </row>
        <row r="3934">
          <cell r="A3934" t="str">
            <v/>
          </cell>
          <cell r="AS3934" t="str">
            <v>-</v>
          </cell>
        </row>
        <row r="3935">
          <cell r="A3935" t="str">
            <v/>
          </cell>
          <cell r="AS3935" t="str">
            <v>-</v>
          </cell>
        </row>
        <row r="3936">
          <cell r="A3936" t="str">
            <v/>
          </cell>
          <cell r="AS3936" t="str">
            <v>-</v>
          </cell>
        </row>
        <row r="3937">
          <cell r="A3937" t="str">
            <v/>
          </cell>
          <cell r="AS3937" t="str">
            <v>-</v>
          </cell>
        </row>
        <row r="3938">
          <cell r="A3938" t="str">
            <v/>
          </cell>
          <cell r="AS3938" t="str">
            <v>-</v>
          </cell>
        </row>
        <row r="3939">
          <cell r="A3939" t="str">
            <v/>
          </cell>
          <cell r="AS3939" t="str">
            <v>-</v>
          </cell>
        </row>
        <row r="3940">
          <cell r="A3940" t="str">
            <v/>
          </cell>
          <cell r="AS3940" t="str">
            <v>-</v>
          </cell>
        </row>
        <row r="3941">
          <cell r="A3941" t="str">
            <v/>
          </cell>
          <cell r="AS3941" t="str">
            <v>-</v>
          </cell>
        </row>
        <row r="3942">
          <cell r="A3942" t="str">
            <v/>
          </cell>
          <cell r="AS3942" t="str">
            <v>-</v>
          </cell>
        </row>
        <row r="3943">
          <cell r="A3943" t="str">
            <v/>
          </cell>
          <cell r="AS3943" t="str">
            <v>-</v>
          </cell>
        </row>
        <row r="3944">
          <cell r="A3944" t="str">
            <v/>
          </cell>
          <cell r="AS3944" t="str">
            <v>-</v>
          </cell>
        </row>
        <row r="3945">
          <cell r="A3945" t="str">
            <v/>
          </cell>
          <cell r="AS3945" t="str">
            <v>-</v>
          </cell>
        </row>
        <row r="3946">
          <cell r="A3946" t="str">
            <v/>
          </cell>
          <cell r="AS3946" t="str">
            <v>-</v>
          </cell>
        </row>
        <row r="3947">
          <cell r="A3947" t="str">
            <v/>
          </cell>
          <cell r="AS3947" t="str">
            <v>-</v>
          </cell>
        </row>
        <row r="3948">
          <cell r="A3948" t="str">
            <v/>
          </cell>
          <cell r="AS3948" t="str">
            <v>-</v>
          </cell>
        </row>
        <row r="3949">
          <cell r="A3949" t="str">
            <v/>
          </cell>
          <cell r="AS3949" t="str">
            <v>-</v>
          </cell>
        </row>
        <row r="3950">
          <cell r="A3950" t="str">
            <v/>
          </cell>
          <cell r="AS3950" t="str">
            <v>-</v>
          </cell>
        </row>
        <row r="3951">
          <cell r="A3951" t="str">
            <v/>
          </cell>
          <cell r="AS3951" t="str">
            <v>-</v>
          </cell>
        </row>
        <row r="3952">
          <cell r="A3952" t="str">
            <v/>
          </cell>
          <cell r="AS3952" t="str">
            <v>-</v>
          </cell>
        </row>
        <row r="3953">
          <cell r="A3953" t="str">
            <v/>
          </cell>
          <cell r="AS3953" t="str">
            <v>-</v>
          </cell>
        </row>
        <row r="3954">
          <cell r="A3954" t="str">
            <v/>
          </cell>
          <cell r="AS3954" t="str">
            <v>-</v>
          </cell>
        </row>
        <row r="3955">
          <cell r="A3955" t="str">
            <v/>
          </cell>
          <cell r="AS3955" t="str">
            <v>-</v>
          </cell>
        </row>
        <row r="3956">
          <cell r="A3956" t="str">
            <v/>
          </cell>
          <cell r="AS3956" t="str">
            <v>-</v>
          </cell>
        </row>
        <row r="3957">
          <cell r="A3957" t="str">
            <v/>
          </cell>
          <cell r="AS3957" t="str">
            <v>-</v>
          </cell>
        </row>
        <row r="3958">
          <cell r="A3958" t="str">
            <v/>
          </cell>
          <cell r="AS3958" t="str">
            <v>-</v>
          </cell>
        </row>
        <row r="3959">
          <cell r="A3959" t="str">
            <v/>
          </cell>
          <cell r="AS3959" t="str">
            <v>-</v>
          </cell>
        </row>
        <row r="3960">
          <cell r="A3960" t="str">
            <v/>
          </cell>
          <cell r="AS3960" t="str">
            <v>-</v>
          </cell>
        </row>
        <row r="3961">
          <cell r="A3961" t="str">
            <v/>
          </cell>
          <cell r="AS3961" t="str">
            <v>-</v>
          </cell>
        </row>
        <row r="3962">
          <cell r="A3962" t="str">
            <v/>
          </cell>
          <cell r="AS3962" t="str">
            <v>-</v>
          </cell>
        </row>
        <row r="3963">
          <cell r="A3963" t="str">
            <v/>
          </cell>
          <cell r="AS3963" t="str">
            <v>-</v>
          </cell>
        </row>
        <row r="3964">
          <cell r="A3964" t="str">
            <v/>
          </cell>
          <cell r="AS3964" t="str">
            <v>-</v>
          </cell>
        </row>
        <row r="3965">
          <cell r="A3965" t="str">
            <v/>
          </cell>
          <cell r="AS3965" t="str">
            <v>-</v>
          </cell>
        </row>
        <row r="3966">
          <cell r="A3966" t="str">
            <v/>
          </cell>
          <cell r="AS3966" t="str">
            <v>-</v>
          </cell>
        </row>
        <row r="3967">
          <cell r="A3967" t="str">
            <v/>
          </cell>
          <cell r="AS3967" t="str">
            <v>-</v>
          </cell>
        </row>
        <row r="3968">
          <cell r="A3968" t="str">
            <v/>
          </cell>
          <cell r="AS3968" t="str">
            <v>-</v>
          </cell>
        </row>
        <row r="3969">
          <cell r="A3969" t="str">
            <v/>
          </cell>
          <cell r="AS3969" t="str">
            <v>-</v>
          </cell>
        </row>
        <row r="3970">
          <cell r="A3970" t="str">
            <v/>
          </cell>
          <cell r="AS3970" t="str">
            <v>-</v>
          </cell>
        </row>
        <row r="3971">
          <cell r="A3971" t="str">
            <v/>
          </cell>
          <cell r="AS3971" t="str">
            <v>-</v>
          </cell>
        </row>
        <row r="3972">
          <cell r="A3972" t="str">
            <v/>
          </cell>
          <cell r="AS3972" t="str">
            <v>-</v>
          </cell>
        </row>
        <row r="3973">
          <cell r="A3973" t="str">
            <v/>
          </cell>
          <cell r="AS3973" t="str">
            <v>-</v>
          </cell>
        </row>
        <row r="3974">
          <cell r="A3974" t="str">
            <v/>
          </cell>
          <cell r="AS3974" t="str">
            <v>-</v>
          </cell>
        </row>
        <row r="3975">
          <cell r="A3975" t="str">
            <v/>
          </cell>
          <cell r="AS3975" t="str">
            <v>-</v>
          </cell>
        </row>
        <row r="3976">
          <cell r="A3976" t="str">
            <v/>
          </cell>
          <cell r="AS3976" t="str">
            <v>-</v>
          </cell>
        </row>
        <row r="3977">
          <cell r="A3977" t="str">
            <v/>
          </cell>
          <cell r="AS3977" t="str">
            <v>-</v>
          </cell>
        </row>
        <row r="3978">
          <cell r="A3978" t="str">
            <v/>
          </cell>
          <cell r="AS3978" t="str">
            <v>-</v>
          </cell>
        </row>
        <row r="3979">
          <cell r="A3979" t="str">
            <v/>
          </cell>
          <cell r="AS3979" t="str">
            <v>-</v>
          </cell>
        </row>
        <row r="3980">
          <cell r="A3980" t="str">
            <v/>
          </cell>
          <cell r="AS3980" t="str">
            <v>-</v>
          </cell>
        </row>
        <row r="3981">
          <cell r="A3981" t="str">
            <v/>
          </cell>
          <cell r="AS3981" t="str">
            <v>-</v>
          </cell>
        </row>
        <row r="3982">
          <cell r="A3982" t="str">
            <v/>
          </cell>
          <cell r="AS3982" t="str">
            <v>-</v>
          </cell>
        </row>
        <row r="3983">
          <cell r="A3983" t="str">
            <v/>
          </cell>
          <cell r="AS3983" t="str">
            <v>-</v>
          </cell>
        </row>
        <row r="3984">
          <cell r="A3984" t="str">
            <v/>
          </cell>
          <cell r="AS3984" t="str">
            <v>-</v>
          </cell>
        </row>
        <row r="3985">
          <cell r="A3985" t="str">
            <v/>
          </cell>
          <cell r="AS3985" t="str">
            <v>-</v>
          </cell>
        </row>
        <row r="3986">
          <cell r="A3986" t="str">
            <v/>
          </cell>
          <cell r="AS3986" t="str">
            <v>-</v>
          </cell>
        </row>
        <row r="3987">
          <cell r="A3987" t="str">
            <v/>
          </cell>
          <cell r="AS3987" t="str">
            <v>-</v>
          </cell>
        </row>
        <row r="3988">
          <cell r="A3988" t="str">
            <v/>
          </cell>
          <cell r="AS3988" t="str">
            <v>-</v>
          </cell>
        </row>
        <row r="3989">
          <cell r="A3989" t="str">
            <v/>
          </cell>
          <cell r="AS3989" t="str">
            <v>-</v>
          </cell>
        </row>
        <row r="3990">
          <cell r="A3990" t="str">
            <v/>
          </cell>
          <cell r="AS3990" t="str">
            <v>-</v>
          </cell>
        </row>
        <row r="3991">
          <cell r="A3991" t="str">
            <v/>
          </cell>
          <cell r="AS3991" t="str">
            <v>-</v>
          </cell>
        </row>
        <row r="3992">
          <cell r="A3992" t="str">
            <v/>
          </cell>
          <cell r="AS3992" t="str">
            <v>-</v>
          </cell>
        </row>
        <row r="3993">
          <cell r="A3993" t="str">
            <v/>
          </cell>
          <cell r="AS3993" t="str">
            <v>-</v>
          </cell>
        </row>
        <row r="3994">
          <cell r="A3994" t="str">
            <v/>
          </cell>
          <cell r="AS3994" t="str">
            <v>-</v>
          </cell>
        </row>
        <row r="3995">
          <cell r="A3995" t="str">
            <v/>
          </cell>
          <cell r="AS3995" t="str">
            <v>-</v>
          </cell>
        </row>
        <row r="3996">
          <cell r="A3996" t="str">
            <v/>
          </cell>
          <cell r="AS3996" t="str">
            <v>-</v>
          </cell>
        </row>
        <row r="3997">
          <cell r="A3997" t="str">
            <v/>
          </cell>
          <cell r="AS3997" t="str">
            <v>-</v>
          </cell>
        </row>
        <row r="3998">
          <cell r="A3998" t="str">
            <v/>
          </cell>
          <cell r="AS3998" t="str">
            <v>-</v>
          </cell>
        </row>
        <row r="3999">
          <cell r="A3999" t="str">
            <v/>
          </cell>
          <cell r="AS3999" t="str">
            <v>-</v>
          </cell>
        </row>
        <row r="4000">
          <cell r="A4000" t="str">
            <v/>
          </cell>
          <cell r="AS4000" t="str">
            <v>-</v>
          </cell>
        </row>
        <row r="4001">
          <cell r="A4001" t="str">
            <v/>
          </cell>
          <cell r="AS4001" t="str">
            <v>-</v>
          </cell>
        </row>
        <row r="4002">
          <cell r="A4002" t="str">
            <v/>
          </cell>
          <cell r="AS4002" t="str">
            <v>-</v>
          </cell>
        </row>
        <row r="4003">
          <cell r="A4003" t="str">
            <v/>
          </cell>
          <cell r="AS4003" t="str">
            <v>-</v>
          </cell>
        </row>
        <row r="4004">
          <cell r="A4004" t="str">
            <v/>
          </cell>
          <cell r="AS4004" t="str">
            <v>-</v>
          </cell>
        </row>
        <row r="4005">
          <cell r="A4005" t="str">
            <v/>
          </cell>
          <cell r="AS4005" t="str">
            <v>-</v>
          </cell>
        </row>
        <row r="4006">
          <cell r="A4006" t="str">
            <v/>
          </cell>
          <cell r="AS4006" t="str">
            <v>-</v>
          </cell>
        </row>
        <row r="4007">
          <cell r="A4007" t="str">
            <v/>
          </cell>
          <cell r="AS4007" t="str">
            <v>-</v>
          </cell>
        </row>
        <row r="4008">
          <cell r="A4008" t="str">
            <v/>
          </cell>
          <cell r="AS4008" t="str">
            <v>-</v>
          </cell>
        </row>
        <row r="4009">
          <cell r="A4009" t="str">
            <v/>
          </cell>
          <cell r="AS4009" t="str">
            <v>-</v>
          </cell>
        </row>
        <row r="4010">
          <cell r="A4010" t="str">
            <v/>
          </cell>
          <cell r="AS4010" t="str">
            <v>-</v>
          </cell>
        </row>
        <row r="4011">
          <cell r="A4011" t="str">
            <v/>
          </cell>
          <cell r="AS4011" t="str">
            <v>-</v>
          </cell>
        </row>
        <row r="4012">
          <cell r="A4012" t="str">
            <v/>
          </cell>
          <cell r="AS4012" t="str">
            <v>-</v>
          </cell>
        </row>
        <row r="4013">
          <cell r="A4013" t="str">
            <v/>
          </cell>
          <cell r="AS4013" t="str">
            <v>-</v>
          </cell>
        </row>
        <row r="4014">
          <cell r="A4014" t="str">
            <v/>
          </cell>
          <cell r="AS4014" t="str">
            <v>-</v>
          </cell>
        </row>
        <row r="4015">
          <cell r="A4015" t="str">
            <v/>
          </cell>
          <cell r="AS4015" t="str">
            <v>-</v>
          </cell>
        </row>
        <row r="4016">
          <cell r="A4016" t="str">
            <v/>
          </cell>
          <cell r="AS4016" t="str">
            <v>-</v>
          </cell>
        </row>
        <row r="4017">
          <cell r="A4017" t="str">
            <v/>
          </cell>
          <cell r="AS4017" t="str">
            <v>-</v>
          </cell>
        </row>
        <row r="4018">
          <cell r="A4018" t="str">
            <v/>
          </cell>
          <cell r="AS4018" t="str">
            <v>-</v>
          </cell>
        </row>
        <row r="4019">
          <cell r="A4019" t="str">
            <v/>
          </cell>
          <cell r="AS4019" t="str">
            <v>-</v>
          </cell>
        </row>
        <row r="4020">
          <cell r="A4020" t="str">
            <v/>
          </cell>
          <cell r="AS4020" t="str">
            <v>-</v>
          </cell>
        </row>
        <row r="4021">
          <cell r="A4021" t="str">
            <v/>
          </cell>
          <cell r="AS4021" t="str">
            <v>-</v>
          </cell>
        </row>
        <row r="4022">
          <cell r="A4022" t="str">
            <v/>
          </cell>
          <cell r="AS4022" t="str">
            <v>-</v>
          </cell>
        </row>
        <row r="4023">
          <cell r="A4023" t="str">
            <v/>
          </cell>
          <cell r="AS4023" t="str">
            <v>-</v>
          </cell>
        </row>
        <row r="4024">
          <cell r="A4024" t="str">
            <v/>
          </cell>
          <cell r="AS4024" t="str">
            <v>-</v>
          </cell>
        </row>
        <row r="4025">
          <cell r="A4025" t="str">
            <v/>
          </cell>
          <cell r="AS4025" t="str">
            <v>-</v>
          </cell>
        </row>
        <row r="4026">
          <cell r="A4026" t="str">
            <v/>
          </cell>
          <cell r="AS4026" t="str">
            <v>-</v>
          </cell>
        </row>
        <row r="4027">
          <cell r="A4027" t="str">
            <v/>
          </cell>
          <cell r="AS4027" t="str">
            <v>-</v>
          </cell>
        </row>
        <row r="4028">
          <cell r="A4028" t="str">
            <v/>
          </cell>
          <cell r="AS4028" t="str">
            <v>-</v>
          </cell>
        </row>
        <row r="4029">
          <cell r="A4029" t="str">
            <v/>
          </cell>
          <cell r="AS4029" t="str">
            <v>-</v>
          </cell>
        </row>
        <row r="4030">
          <cell r="A4030" t="str">
            <v/>
          </cell>
          <cell r="AS4030" t="str">
            <v>-</v>
          </cell>
        </row>
        <row r="4031">
          <cell r="A4031" t="str">
            <v/>
          </cell>
          <cell r="AS4031" t="str">
            <v>-</v>
          </cell>
        </row>
        <row r="4032">
          <cell r="A4032" t="str">
            <v/>
          </cell>
          <cell r="AS4032" t="str">
            <v>-</v>
          </cell>
        </row>
        <row r="4033">
          <cell r="A4033" t="str">
            <v/>
          </cell>
          <cell r="AS4033" t="str">
            <v>-</v>
          </cell>
        </row>
        <row r="4034">
          <cell r="A4034" t="str">
            <v/>
          </cell>
          <cell r="AS4034" t="str">
            <v>-</v>
          </cell>
        </row>
        <row r="4035">
          <cell r="A4035" t="str">
            <v/>
          </cell>
          <cell r="AS4035" t="str">
            <v>-</v>
          </cell>
        </row>
        <row r="4036">
          <cell r="A4036" t="str">
            <v/>
          </cell>
          <cell r="AS4036" t="str">
            <v>-</v>
          </cell>
        </row>
        <row r="4037">
          <cell r="A4037" t="str">
            <v/>
          </cell>
          <cell r="AS4037" t="str">
            <v>-</v>
          </cell>
        </row>
        <row r="4038">
          <cell r="A4038" t="str">
            <v/>
          </cell>
          <cell r="AS4038" t="str">
            <v>-</v>
          </cell>
        </row>
        <row r="4039">
          <cell r="A4039" t="str">
            <v/>
          </cell>
          <cell r="AS4039" t="str">
            <v>-</v>
          </cell>
        </row>
        <row r="4040">
          <cell r="A4040" t="str">
            <v/>
          </cell>
          <cell r="AS4040" t="str">
            <v>-</v>
          </cell>
        </row>
        <row r="4041">
          <cell r="A4041" t="str">
            <v/>
          </cell>
          <cell r="AS4041" t="str">
            <v>-</v>
          </cell>
        </row>
        <row r="4042">
          <cell r="A4042" t="str">
            <v/>
          </cell>
          <cell r="AS4042" t="str">
            <v>-</v>
          </cell>
        </row>
        <row r="4043">
          <cell r="A4043" t="str">
            <v/>
          </cell>
          <cell r="AS4043" t="str">
            <v>-</v>
          </cell>
        </row>
        <row r="4044">
          <cell r="A4044" t="str">
            <v/>
          </cell>
          <cell r="AS4044" t="str">
            <v>-</v>
          </cell>
        </row>
        <row r="4045">
          <cell r="A4045" t="str">
            <v/>
          </cell>
          <cell r="AS4045" t="str">
            <v>-</v>
          </cell>
        </row>
        <row r="4046">
          <cell r="A4046" t="str">
            <v/>
          </cell>
          <cell r="AS4046" t="str">
            <v>-</v>
          </cell>
        </row>
        <row r="4047">
          <cell r="A4047" t="str">
            <v/>
          </cell>
          <cell r="AS4047" t="str">
            <v>-</v>
          </cell>
        </row>
        <row r="4048">
          <cell r="A4048" t="str">
            <v/>
          </cell>
          <cell r="AS4048" t="str">
            <v>-</v>
          </cell>
        </row>
        <row r="4049">
          <cell r="A4049" t="str">
            <v/>
          </cell>
          <cell r="AS4049" t="str">
            <v>-</v>
          </cell>
        </row>
        <row r="4050">
          <cell r="A4050" t="str">
            <v/>
          </cell>
          <cell r="AS4050" t="str">
            <v>-</v>
          </cell>
        </row>
        <row r="4051">
          <cell r="A4051" t="str">
            <v/>
          </cell>
          <cell r="AS4051" t="str">
            <v>-</v>
          </cell>
        </row>
        <row r="4052">
          <cell r="A4052" t="str">
            <v/>
          </cell>
          <cell r="AS4052" t="str">
            <v>-</v>
          </cell>
        </row>
        <row r="4053">
          <cell r="A4053" t="str">
            <v/>
          </cell>
          <cell r="AS4053" t="str">
            <v>-</v>
          </cell>
        </row>
        <row r="4054">
          <cell r="A4054" t="str">
            <v/>
          </cell>
          <cell r="AS4054" t="str">
            <v>-</v>
          </cell>
        </row>
        <row r="4055">
          <cell r="A4055" t="str">
            <v/>
          </cell>
          <cell r="AS4055" t="str">
            <v>-</v>
          </cell>
        </row>
        <row r="4056">
          <cell r="A4056" t="str">
            <v/>
          </cell>
          <cell r="AS4056" t="str">
            <v>-</v>
          </cell>
        </row>
        <row r="4057">
          <cell r="A4057" t="str">
            <v/>
          </cell>
          <cell r="AS4057" t="str">
            <v>-</v>
          </cell>
        </row>
        <row r="4058">
          <cell r="A4058" t="str">
            <v/>
          </cell>
          <cell r="AS4058" t="str">
            <v>-</v>
          </cell>
        </row>
        <row r="4059">
          <cell r="A4059" t="str">
            <v/>
          </cell>
          <cell r="AS4059" t="str">
            <v>-</v>
          </cell>
        </row>
        <row r="4060">
          <cell r="A4060" t="str">
            <v/>
          </cell>
          <cell r="AS4060" t="str">
            <v>-</v>
          </cell>
        </row>
        <row r="4061">
          <cell r="A4061" t="str">
            <v/>
          </cell>
          <cell r="AS4061" t="str">
            <v>-</v>
          </cell>
        </row>
        <row r="4062">
          <cell r="A4062" t="str">
            <v/>
          </cell>
          <cell r="AS4062" t="str">
            <v>-</v>
          </cell>
        </row>
        <row r="4063">
          <cell r="A4063" t="str">
            <v/>
          </cell>
          <cell r="AS4063" t="str">
            <v>-</v>
          </cell>
        </row>
        <row r="4064">
          <cell r="A4064" t="str">
            <v/>
          </cell>
          <cell r="AS4064" t="str">
            <v>-</v>
          </cell>
        </row>
        <row r="4065">
          <cell r="A4065" t="str">
            <v/>
          </cell>
          <cell r="AS4065" t="str">
            <v>-</v>
          </cell>
        </row>
        <row r="4066">
          <cell r="A4066" t="str">
            <v/>
          </cell>
          <cell r="AS4066" t="str">
            <v>-</v>
          </cell>
        </row>
        <row r="4067">
          <cell r="A4067" t="str">
            <v/>
          </cell>
          <cell r="AS4067" t="str">
            <v>-</v>
          </cell>
        </row>
        <row r="4068">
          <cell r="A4068" t="str">
            <v/>
          </cell>
          <cell r="AS4068" t="str">
            <v>-</v>
          </cell>
        </row>
        <row r="4069">
          <cell r="A4069" t="str">
            <v/>
          </cell>
          <cell r="AS4069" t="str">
            <v>-</v>
          </cell>
        </row>
        <row r="4070">
          <cell r="A4070" t="str">
            <v/>
          </cell>
          <cell r="AS4070" t="str">
            <v>-</v>
          </cell>
        </row>
        <row r="4071">
          <cell r="A4071" t="str">
            <v/>
          </cell>
          <cell r="AS4071" t="str">
            <v>-</v>
          </cell>
        </row>
        <row r="4072">
          <cell r="A4072" t="str">
            <v/>
          </cell>
          <cell r="AS4072" t="str">
            <v>-</v>
          </cell>
        </row>
        <row r="4073">
          <cell r="A4073" t="str">
            <v/>
          </cell>
          <cell r="AS4073" t="str">
            <v>-</v>
          </cell>
        </row>
        <row r="4074">
          <cell r="A4074" t="str">
            <v/>
          </cell>
          <cell r="AS4074" t="str">
            <v>-</v>
          </cell>
        </row>
        <row r="4075">
          <cell r="A4075" t="str">
            <v/>
          </cell>
          <cell r="AS4075" t="str">
            <v>-</v>
          </cell>
        </row>
        <row r="4076">
          <cell r="A4076" t="str">
            <v/>
          </cell>
          <cell r="AS4076" t="str">
            <v>-</v>
          </cell>
        </row>
        <row r="4077">
          <cell r="A4077" t="str">
            <v/>
          </cell>
          <cell r="AS4077" t="str">
            <v>-</v>
          </cell>
        </row>
        <row r="4078">
          <cell r="A4078" t="str">
            <v/>
          </cell>
          <cell r="AS4078" t="str">
            <v>-</v>
          </cell>
        </row>
        <row r="4079">
          <cell r="A4079" t="str">
            <v/>
          </cell>
          <cell r="AS4079" t="str">
            <v>-</v>
          </cell>
        </row>
        <row r="4080">
          <cell r="A4080" t="str">
            <v/>
          </cell>
          <cell r="AS4080" t="str">
            <v>-</v>
          </cell>
        </row>
        <row r="4081">
          <cell r="A4081" t="str">
            <v/>
          </cell>
          <cell r="AS4081" t="str">
            <v>-</v>
          </cell>
        </row>
        <row r="4082">
          <cell r="A4082" t="str">
            <v/>
          </cell>
          <cell r="AS4082" t="str">
            <v>-</v>
          </cell>
        </row>
        <row r="4083">
          <cell r="A4083" t="str">
            <v/>
          </cell>
          <cell r="AS4083" t="str">
            <v>-</v>
          </cell>
        </row>
        <row r="4084">
          <cell r="A4084" t="str">
            <v/>
          </cell>
          <cell r="AS4084" t="str">
            <v>-</v>
          </cell>
        </row>
        <row r="4085">
          <cell r="A4085" t="str">
            <v/>
          </cell>
          <cell r="AS4085" t="str">
            <v>-</v>
          </cell>
        </row>
        <row r="4086">
          <cell r="A4086" t="str">
            <v/>
          </cell>
          <cell r="AS4086" t="str">
            <v>-</v>
          </cell>
        </row>
        <row r="4087">
          <cell r="A4087" t="str">
            <v/>
          </cell>
          <cell r="AS4087" t="str">
            <v>-</v>
          </cell>
        </row>
        <row r="4088">
          <cell r="A4088" t="str">
            <v/>
          </cell>
          <cell r="AS4088" t="str">
            <v>-</v>
          </cell>
        </row>
        <row r="4089">
          <cell r="A4089" t="str">
            <v/>
          </cell>
          <cell r="AS4089" t="str">
            <v>-</v>
          </cell>
        </row>
        <row r="4090">
          <cell r="A4090" t="str">
            <v/>
          </cell>
          <cell r="AS4090" t="str">
            <v>-</v>
          </cell>
        </row>
        <row r="4091">
          <cell r="A4091" t="str">
            <v/>
          </cell>
          <cell r="AS4091" t="str">
            <v>-</v>
          </cell>
        </row>
        <row r="4092">
          <cell r="A4092" t="str">
            <v/>
          </cell>
          <cell r="AS4092" t="str">
            <v>-</v>
          </cell>
        </row>
        <row r="4093">
          <cell r="A4093" t="str">
            <v/>
          </cell>
          <cell r="AS4093" t="str">
            <v>-</v>
          </cell>
        </row>
        <row r="4094">
          <cell r="A4094" t="str">
            <v/>
          </cell>
          <cell r="AS4094" t="str">
            <v>-</v>
          </cell>
        </row>
        <row r="4095">
          <cell r="A4095" t="str">
            <v/>
          </cell>
          <cell r="AS4095" t="str">
            <v>-</v>
          </cell>
        </row>
        <row r="4096">
          <cell r="A4096" t="str">
            <v/>
          </cell>
          <cell r="AS4096" t="str">
            <v>-</v>
          </cell>
        </row>
        <row r="4097">
          <cell r="A4097" t="str">
            <v/>
          </cell>
          <cell r="AS4097" t="str">
            <v>-</v>
          </cell>
        </row>
        <row r="4098">
          <cell r="A4098" t="str">
            <v/>
          </cell>
          <cell r="AS4098" t="str">
            <v>-</v>
          </cell>
        </row>
        <row r="4099">
          <cell r="A4099" t="str">
            <v/>
          </cell>
          <cell r="AS4099" t="str">
            <v>-</v>
          </cell>
        </row>
        <row r="4100">
          <cell r="A4100" t="str">
            <v/>
          </cell>
          <cell r="AS4100" t="str">
            <v>-</v>
          </cell>
        </row>
        <row r="4101">
          <cell r="A4101" t="str">
            <v/>
          </cell>
          <cell r="AS4101" t="str">
            <v>-</v>
          </cell>
        </row>
        <row r="4102">
          <cell r="A4102" t="str">
            <v/>
          </cell>
          <cell r="AS4102" t="str">
            <v>-</v>
          </cell>
        </row>
        <row r="4103">
          <cell r="A4103" t="str">
            <v/>
          </cell>
          <cell r="AS4103" t="str">
            <v>-</v>
          </cell>
        </row>
        <row r="4104">
          <cell r="A4104" t="str">
            <v/>
          </cell>
          <cell r="AS4104" t="str">
            <v>-</v>
          </cell>
        </row>
        <row r="4105">
          <cell r="A4105" t="str">
            <v/>
          </cell>
          <cell r="AS4105" t="str">
            <v>-</v>
          </cell>
        </row>
        <row r="4106">
          <cell r="A4106" t="str">
            <v/>
          </cell>
          <cell r="AS4106" t="str">
            <v>-</v>
          </cell>
        </row>
        <row r="4107">
          <cell r="A4107" t="str">
            <v/>
          </cell>
          <cell r="AS4107" t="str">
            <v>-</v>
          </cell>
        </row>
        <row r="4108">
          <cell r="A4108" t="str">
            <v/>
          </cell>
          <cell r="AS4108" t="str">
            <v>-</v>
          </cell>
        </row>
        <row r="4109">
          <cell r="A4109" t="str">
            <v/>
          </cell>
          <cell r="AS4109" t="str">
            <v>-</v>
          </cell>
        </row>
        <row r="4110">
          <cell r="A4110" t="str">
            <v/>
          </cell>
          <cell r="AS4110" t="str">
            <v>-</v>
          </cell>
        </row>
        <row r="4111">
          <cell r="A4111" t="str">
            <v/>
          </cell>
          <cell r="AS4111" t="str">
            <v>-</v>
          </cell>
        </row>
        <row r="4112">
          <cell r="A4112" t="str">
            <v/>
          </cell>
          <cell r="AS4112" t="str">
            <v>-</v>
          </cell>
        </row>
        <row r="4113">
          <cell r="A4113" t="str">
            <v/>
          </cell>
          <cell r="AS4113" t="str">
            <v>-</v>
          </cell>
        </row>
        <row r="4114">
          <cell r="A4114" t="str">
            <v/>
          </cell>
          <cell r="AS4114" t="str">
            <v>-</v>
          </cell>
        </row>
        <row r="4115">
          <cell r="A4115" t="str">
            <v/>
          </cell>
          <cell r="AS4115" t="str">
            <v>-</v>
          </cell>
        </row>
        <row r="4116">
          <cell r="A4116" t="str">
            <v/>
          </cell>
          <cell r="AS4116" t="str">
            <v>-</v>
          </cell>
        </row>
        <row r="4117">
          <cell r="A4117" t="str">
            <v/>
          </cell>
          <cell r="AS4117" t="str">
            <v>-</v>
          </cell>
        </row>
        <row r="4118">
          <cell r="A4118" t="str">
            <v/>
          </cell>
          <cell r="AS4118" t="str">
            <v>-</v>
          </cell>
        </row>
        <row r="4119">
          <cell r="A4119" t="str">
            <v/>
          </cell>
          <cell r="AS4119" t="str">
            <v>-</v>
          </cell>
        </row>
        <row r="4120">
          <cell r="A4120" t="str">
            <v/>
          </cell>
          <cell r="AS4120" t="str">
            <v>-</v>
          </cell>
        </row>
        <row r="4121">
          <cell r="A4121" t="str">
            <v/>
          </cell>
          <cell r="AS4121" t="str">
            <v>-</v>
          </cell>
        </row>
        <row r="4122">
          <cell r="A4122" t="str">
            <v/>
          </cell>
          <cell r="AS4122" t="str">
            <v>-</v>
          </cell>
        </row>
        <row r="4123">
          <cell r="A4123" t="str">
            <v/>
          </cell>
          <cell r="AS4123" t="str">
            <v>-</v>
          </cell>
        </row>
        <row r="4124">
          <cell r="A4124" t="str">
            <v/>
          </cell>
          <cell r="AS4124" t="str">
            <v>-</v>
          </cell>
        </row>
        <row r="4125">
          <cell r="A4125" t="str">
            <v/>
          </cell>
          <cell r="AS4125" t="str">
            <v>-</v>
          </cell>
        </row>
        <row r="4126">
          <cell r="A4126" t="str">
            <v/>
          </cell>
          <cell r="AS4126" t="str">
            <v>-</v>
          </cell>
        </row>
        <row r="4127">
          <cell r="A4127" t="str">
            <v/>
          </cell>
          <cell r="AS4127" t="str">
            <v>-</v>
          </cell>
        </row>
        <row r="4128">
          <cell r="A4128" t="str">
            <v/>
          </cell>
          <cell r="AS4128" t="str">
            <v>-</v>
          </cell>
        </row>
        <row r="4129">
          <cell r="A4129" t="str">
            <v/>
          </cell>
          <cell r="AS4129" t="str">
            <v>-</v>
          </cell>
        </row>
        <row r="4130">
          <cell r="A4130" t="str">
            <v/>
          </cell>
          <cell r="AS4130" t="str">
            <v>-</v>
          </cell>
        </row>
        <row r="4131">
          <cell r="A4131" t="str">
            <v/>
          </cell>
          <cell r="AS4131" t="str">
            <v>-</v>
          </cell>
        </row>
        <row r="4132">
          <cell r="A4132" t="str">
            <v/>
          </cell>
          <cell r="AS4132" t="str">
            <v>-</v>
          </cell>
        </row>
        <row r="4133">
          <cell r="A4133" t="str">
            <v/>
          </cell>
          <cell r="AS4133" t="str">
            <v>-</v>
          </cell>
        </row>
        <row r="4134">
          <cell r="A4134" t="str">
            <v/>
          </cell>
          <cell r="AS4134" t="str">
            <v>-</v>
          </cell>
        </row>
        <row r="4135">
          <cell r="A4135" t="str">
            <v/>
          </cell>
          <cell r="AS4135" t="str">
            <v>-</v>
          </cell>
        </row>
        <row r="4136">
          <cell r="A4136" t="str">
            <v/>
          </cell>
          <cell r="AS4136" t="str">
            <v>-</v>
          </cell>
        </row>
        <row r="4137">
          <cell r="A4137" t="str">
            <v/>
          </cell>
          <cell r="AS4137" t="str">
            <v>-</v>
          </cell>
        </row>
        <row r="4138">
          <cell r="A4138" t="str">
            <v/>
          </cell>
          <cell r="AS4138" t="str">
            <v>-</v>
          </cell>
        </row>
        <row r="4139">
          <cell r="A4139" t="str">
            <v/>
          </cell>
          <cell r="AS4139" t="str">
            <v>-</v>
          </cell>
        </row>
        <row r="4140">
          <cell r="A4140" t="str">
            <v/>
          </cell>
          <cell r="AS4140" t="str">
            <v>-</v>
          </cell>
        </row>
        <row r="4141">
          <cell r="A4141" t="str">
            <v/>
          </cell>
          <cell r="AS4141" t="str">
            <v>-</v>
          </cell>
        </row>
        <row r="4142">
          <cell r="A4142" t="str">
            <v/>
          </cell>
          <cell r="AS4142" t="str">
            <v>-</v>
          </cell>
        </row>
        <row r="4143">
          <cell r="A4143" t="str">
            <v/>
          </cell>
          <cell r="AS4143" t="str">
            <v>-</v>
          </cell>
        </row>
        <row r="4144">
          <cell r="A4144" t="str">
            <v/>
          </cell>
          <cell r="AS4144" t="str">
            <v>-</v>
          </cell>
        </row>
        <row r="4145">
          <cell r="A4145" t="str">
            <v/>
          </cell>
          <cell r="AS4145" t="str">
            <v>-</v>
          </cell>
        </row>
        <row r="4146">
          <cell r="A4146" t="str">
            <v/>
          </cell>
          <cell r="AS4146" t="str">
            <v>-</v>
          </cell>
        </row>
        <row r="4147">
          <cell r="A4147" t="str">
            <v/>
          </cell>
          <cell r="AS4147" t="str">
            <v>-</v>
          </cell>
        </row>
        <row r="4148">
          <cell r="A4148" t="str">
            <v/>
          </cell>
          <cell r="AS4148" t="str">
            <v>-</v>
          </cell>
        </row>
        <row r="4149">
          <cell r="A4149" t="str">
            <v/>
          </cell>
          <cell r="AS4149" t="str">
            <v>-</v>
          </cell>
        </row>
        <row r="4150">
          <cell r="A4150" t="str">
            <v/>
          </cell>
          <cell r="AS4150" t="str">
            <v>-</v>
          </cell>
        </row>
        <row r="4151">
          <cell r="A4151" t="str">
            <v/>
          </cell>
          <cell r="AS4151" t="str">
            <v>-</v>
          </cell>
        </row>
        <row r="4152">
          <cell r="A4152" t="str">
            <v/>
          </cell>
          <cell r="AS4152" t="str">
            <v>-</v>
          </cell>
        </row>
        <row r="4153">
          <cell r="A4153" t="str">
            <v/>
          </cell>
          <cell r="AS4153" t="str">
            <v>-</v>
          </cell>
        </row>
        <row r="4154">
          <cell r="A4154" t="str">
            <v/>
          </cell>
          <cell r="AS4154" t="str">
            <v>-</v>
          </cell>
        </row>
        <row r="4155">
          <cell r="A4155" t="str">
            <v/>
          </cell>
          <cell r="AS4155" t="str">
            <v>-</v>
          </cell>
        </row>
        <row r="4156">
          <cell r="A4156" t="str">
            <v/>
          </cell>
          <cell r="AS4156" t="str">
            <v>-</v>
          </cell>
        </row>
        <row r="4157">
          <cell r="A4157" t="str">
            <v/>
          </cell>
          <cell r="AS4157" t="str">
            <v>-</v>
          </cell>
        </row>
        <row r="4158">
          <cell r="A4158" t="str">
            <v/>
          </cell>
          <cell r="AS4158" t="str">
            <v>-</v>
          </cell>
        </row>
        <row r="4159">
          <cell r="A4159" t="str">
            <v/>
          </cell>
          <cell r="AS4159" t="str">
            <v>-</v>
          </cell>
        </row>
        <row r="4160">
          <cell r="A4160" t="str">
            <v/>
          </cell>
          <cell r="AS4160" t="str">
            <v>-</v>
          </cell>
        </row>
        <row r="4161">
          <cell r="A4161" t="str">
            <v/>
          </cell>
          <cell r="AS4161" t="str">
            <v>-</v>
          </cell>
        </row>
        <row r="4162">
          <cell r="A4162" t="str">
            <v/>
          </cell>
          <cell r="AS4162" t="str">
            <v>-</v>
          </cell>
        </row>
        <row r="4163">
          <cell r="A4163" t="str">
            <v/>
          </cell>
          <cell r="AS4163" t="str">
            <v>-</v>
          </cell>
        </row>
        <row r="4164">
          <cell r="A4164" t="str">
            <v/>
          </cell>
          <cell r="AS4164" t="str">
            <v>-</v>
          </cell>
        </row>
        <row r="4165">
          <cell r="A4165" t="str">
            <v/>
          </cell>
          <cell r="AS4165" t="str">
            <v>-</v>
          </cell>
        </row>
        <row r="4166">
          <cell r="A4166" t="str">
            <v/>
          </cell>
          <cell r="AS4166" t="str">
            <v>-</v>
          </cell>
        </row>
        <row r="4167">
          <cell r="A4167" t="str">
            <v/>
          </cell>
          <cell r="AS4167" t="str">
            <v>-</v>
          </cell>
        </row>
        <row r="4168">
          <cell r="A4168" t="str">
            <v/>
          </cell>
          <cell r="AS4168" t="str">
            <v>-</v>
          </cell>
        </row>
        <row r="4169">
          <cell r="A4169" t="str">
            <v/>
          </cell>
          <cell r="AS4169" t="str">
            <v>-</v>
          </cell>
        </row>
        <row r="4170">
          <cell r="A4170" t="str">
            <v/>
          </cell>
          <cell r="AS4170" t="str">
            <v>-</v>
          </cell>
        </row>
        <row r="4171">
          <cell r="A4171" t="str">
            <v/>
          </cell>
          <cell r="AS4171" t="str">
            <v>-</v>
          </cell>
        </row>
        <row r="4172">
          <cell r="A4172" t="str">
            <v/>
          </cell>
          <cell r="AS4172" t="str">
            <v>-</v>
          </cell>
        </row>
        <row r="4173">
          <cell r="A4173" t="str">
            <v/>
          </cell>
          <cell r="AS4173" t="str">
            <v>-</v>
          </cell>
        </row>
        <row r="4174">
          <cell r="A4174" t="str">
            <v/>
          </cell>
          <cell r="AS4174" t="str">
            <v>-</v>
          </cell>
        </row>
        <row r="4175">
          <cell r="A4175" t="str">
            <v/>
          </cell>
          <cell r="AS4175" t="str">
            <v>-</v>
          </cell>
        </row>
        <row r="4176">
          <cell r="A4176" t="str">
            <v/>
          </cell>
          <cell r="AS4176" t="str">
            <v>-</v>
          </cell>
        </row>
        <row r="4177">
          <cell r="A4177" t="str">
            <v/>
          </cell>
          <cell r="AS4177" t="str">
            <v>-</v>
          </cell>
        </row>
        <row r="4178">
          <cell r="A4178" t="str">
            <v/>
          </cell>
          <cell r="AS4178" t="str">
            <v>-</v>
          </cell>
        </row>
        <row r="4179">
          <cell r="A4179" t="str">
            <v/>
          </cell>
          <cell r="AS4179" t="str">
            <v>-</v>
          </cell>
        </row>
        <row r="4180">
          <cell r="A4180" t="str">
            <v/>
          </cell>
          <cell r="AS4180" t="str">
            <v>-</v>
          </cell>
        </row>
        <row r="4181">
          <cell r="A4181" t="str">
            <v/>
          </cell>
          <cell r="AS4181" t="str">
            <v>-</v>
          </cell>
        </row>
        <row r="4182">
          <cell r="A4182" t="str">
            <v/>
          </cell>
          <cell r="AS4182" t="str">
            <v>-</v>
          </cell>
        </row>
        <row r="4183">
          <cell r="A4183" t="str">
            <v/>
          </cell>
          <cell r="AS4183" t="str">
            <v>-</v>
          </cell>
        </row>
        <row r="4184">
          <cell r="A4184" t="str">
            <v/>
          </cell>
          <cell r="AS4184" t="str">
            <v>-</v>
          </cell>
        </row>
        <row r="4185">
          <cell r="A4185" t="str">
            <v/>
          </cell>
          <cell r="AS4185" t="str">
            <v>-</v>
          </cell>
        </row>
        <row r="4186">
          <cell r="A4186" t="str">
            <v/>
          </cell>
          <cell r="AS4186" t="str">
            <v>-</v>
          </cell>
        </row>
        <row r="4187">
          <cell r="A4187" t="str">
            <v/>
          </cell>
          <cell r="AS4187" t="str">
            <v>-</v>
          </cell>
        </row>
        <row r="4188">
          <cell r="A4188" t="str">
            <v/>
          </cell>
          <cell r="AS4188" t="str">
            <v>-</v>
          </cell>
        </row>
        <row r="4189">
          <cell r="A4189" t="str">
            <v/>
          </cell>
          <cell r="AS4189" t="str">
            <v>-</v>
          </cell>
        </row>
        <row r="4190">
          <cell r="A4190" t="str">
            <v/>
          </cell>
          <cell r="AS4190" t="str">
            <v>-</v>
          </cell>
        </row>
        <row r="4191">
          <cell r="A4191" t="str">
            <v/>
          </cell>
          <cell r="AS4191" t="str">
            <v>-</v>
          </cell>
        </row>
        <row r="4192">
          <cell r="A4192" t="str">
            <v/>
          </cell>
          <cell r="AS4192" t="str">
            <v>-</v>
          </cell>
        </row>
        <row r="4193">
          <cell r="A4193" t="str">
            <v/>
          </cell>
          <cell r="AS4193" t="str">
            <v>-</v>
          </cell>
        </row>
        <row r="4194">
          <cell r="A4194" t="str">
            <v/>
          </cell>
          <cell r="AS4194" t="str">
            <v>-</v>
          </cell>
        </row>
        <row r="4195">
          <cell r="A4195" t="str">
            <v/>
          </cell>
          <cell r="AS4195" t="str">
            <v>-</v>
          </cell>
        </row>
        <row r="4196">
          <cell r="A4196" t="str">
            <v/>
          </cell>
          <cell r="AS4196" t="str">
            <v>-</v>
          </cell>
        </row>
        <row r="4197">
          <cell r="A4197" t="str">
            <v/>
          </cell>
          <cell r="AS4197" t="str">
            <v>-</v>
          </cell>
        </row>
        <row r="4198">
          <cell r="A4198" t="str">
            <v/>
          </cell>
          <cell r="AS4198" t="str">
            <v>-</v>
          </cell>
        </row>
        <row r="4199">
          <cell r="A4199" t="str">
            <v/>
          </cell>
          <cell r="AS4199" t="str">
            <v>-</v>
          </cell>
        </row>
        <row r="4200">
          <cell r="A4200" t="str">
            <v/>
          </cell>
          <cell r="AS4200" t="str">
            <v>-</v>
          </cell>
        </row>
        <row r="4201">
          <cell r="A4201" t="str">
            <v/>
          </cell>
          <cell r="AS4201" t="str">
            <v>-</v>
          </cell>
        </row>
        <row r="4202">
          <cell r="A4202" t="str">
            <v/>
          </cell>
          <cell r="AS4202" t="str">
            <v>-</v>
          </cell>
        </row>
        <row r="4203">
          <cell r="A4203" t="str">
            <v/>
          </cell>
          <cell r="AS4203" t="str">
            <v>-</v>
          </cell>
        </row>
        <row r="4204">
          <cell r="A4204" t="str">
            <v/>
          </cell>
          <cell r="AS4204" t="str">
            <v>-</v>
          </cell>
        </row>
        <row r="4205">
          <cell r="A4205" t="str">
            <v/>
          </cell>
          <cell r="AS4205" t="str">
            <v>-</v>
          </cell>
        </row>
        <row r="4206">
          <cell r="A4206" t="str">
            <v/>
          </cell>
          <cell r="AS4206" t="str">
            <v>-</v>
          </cell>
        </row>
        <row r="4207">
          <cell r="A4207" t="str">
            <v/>
          </cell>
          <cell r="AS4207" t="str">
            <v>-</v>
          </cell>
        </row>
        <row r="4208">
          <cell r="A4208" t="str">
            <v/>
          </cell>
          <cell r="AS4208" t="str">
            <v>-</v>
          </cell>
        </row>
        <row r="4209">
          <cell r="A4209" t="str">
            <v/>
          </cell>
          <cell r="AS4209" t="str">
            <v>-</v>
          </cell>
        </row>
        <row r="4210">
          <cell r="A4210" t="str">
            <v/>
          </cell>
          <cell r="AS4210" t="str">
            <v>-</v>
          </cell>
        </row>
        <row r="4211">
          <cell r="A4211" t="str">
            <v/>
          </cell>
          <cell r="AS4211" t="str">
            <v>-</v>
          </cell>
        </row>
        <row r="4212">
          <cell r="A4212" t="str">
            <v/>
          </cell>
          <cell r="AS4212" t="str">
            <v>-</v>
          </cell>
        </row>
        <row r="4213">
          <cell r="A4213" t="str">
            <v/>
          </cell>
          <cell r="AS4213" t="str">
            <v>-</v>
          </cell>
        </row>
        <row r="4214">
          <cell r="A4214" t="str">
            <v/>
          </cell>
          <cell r="AS4214" t="str">
            <v>-</v>
          </cell>
        </row>
        <row r="4215">
          <cell r="A4215" t="str">
            <v/>
          </cell>
          <cell r="AS4215" t="str">
            <v>-</v>
          </cell>
        </row>
        <row r="4216">
          <cell r="A4216" t="str">
            <v/>
          </cell>
          <cell r="AS4216" t="str">
            <v>-</v>
          </cell>
        </row>
        <row r="4217">
          <cell r="A4217" t="str">
            <v/>
          </cell>
          <cell r="AS4217" t="str">
            <v>-</v>
          </cell>
        </row>
        <row r="4218">
          <cell r="A4218" t="str">
            <v/>
          </cell>
          <cell r="AS4218" t="str">
            <v>-</v>
          </cell>
        </row>
        <row r="4219">
          <cell r="A4219" t="str">
            <v/>
          </cell>
          <cell r="AS4219" t="str">
            <v>-</v>
          </cell>
        </row>
        <row r="4220">
          <cell r="A4220" t="str">
            <v/>
          </cell>
          <cell r="AS4220" t="str">
            <v>-</v>
          </cell>
        </row>
        <row r="4221">
          <cell r="A4221" t="str">
            <v/>
          </cell>
          <cell r="AS4221" t="str">
            <v>-</v>
          </cell>
        </row>
        <row r="4222">
          <cell r="A4222" t="str">
            <v/>
          </cell>
          <cell r="AS4222" t="str">
            <v>-</v>
          </cell>
        </row>
        <row r="4223">
          <cell r="A4223" t="str">
            <v/>
          </cell>
          <cell r="AS4223" t="str">
            <v>-</v>
          </cell>
        </row>
        <row r="4224">
          <cell r="A4224" t="str">
            <v/>
          </cell>
          <cell r="AS4224" t="str">
            <v>-</v>
          </cell>
        </row>
        <row r="4225">
          <cell r="A4225" t="str">
            <v/>
          </cell>
          <cell r="AS4225" t="str">
            <v>-</v>
          </cell>
        </row>
        <row r="4226">
          <cell r="A4226" t="str">
            <v/>
          </cell>
          <cell r="AS4226" t="str">
            <v>-</v>
          </cell>
        </row>
        <row r="4227">
          <cell r="A4227" t="str">
            <v/>
          </cell>
          <cell r="AS4227" t="str">
            <v>-</v>
          </cell>
        </row>
        <row r="4228">
          <cell r="A4228" t="str">
            <v/>
          </cell>
          <cell r="AS4228" t="str">
            <v>-</v>
          </cell>
        </row>
        <row r="4229">
          <cell r="A4229" t="str">
            <v/>
          </cell>
          <cell r="AS4229" t="str">
            <v>-</v>
          </cell>
        </row>
        <row r="4230">
          <cell r="A4230" t="str">
            <v/>
          </cell>
          <cell r="AS4230" t="str">
            <v>-</v>
          </cell>
        </row>
        <row r="4231">
          <cell r="A4231" t="str">
            <v/>
          </cell>
          <cell r="AS4231" t="str">
            <v>-</v>
          </cell>
        </row>
        <row r="4232">
          <cell r="A4232" t="str">
            <v/>
          </cell>
          <cell r="AS4232" t="str">
            <v>-</v>
          </cell>
        </row>
        <row r="4233">
          <cell r="A4233" t="str">
            <v/>
          </cell>
          <cell r="AS4233" t="str">
            <v>-</v>
          </cell>
        </row>
        <row r="4234">
          <cell r="A4234" t="str">
            <v/>
          </cell>
          <cell r="AS4234" t="str">
            <v>-</v>
          </cell>
        </row>
        <row r="4235">
          <cell r="A4235" t="str">
            <v/>
          </cell>
          <cell r="AS4235" t="str">
            <v>-</v>
          </cell>
        </row>
        <row r="4236">
          <cell r="A4236" t="str">
            <v/>
          </cell>
          <cell r="AS4236" t="str">
            <v>-</v>
          </cell>
        </row>
        <row r="4237">
          <cell r="A4237" t="str">
            <v/>
          </cell>
          <cell r="AS4237" t="str">
            <v>-</v>
          </cell>
        </row>
        <row r="4238">
          <cell r="A4238" t="str">
            <v/>
          </cell>
          <cell r="AS4238" t="str">
            <v>-</v>
          </cell>
        </row>
        <row r="4239">
          <cell r="A4239" t="str">
            <v/>
          </cell>
          <cell r="AS4239" t="str">
            <v>-</v>
          </cell>
        </row>
        <row r="4240">
          <cell r="A4240" t="str">
            <v/>
          </cell>
          <cell r="AS4240" t="str">
            <v>-</v>
          </cell>
        </row>
        <row r="4241">
          <cell r="A4241" t="str">
            <v/>
          </cell>
          <cell r="AS4241" t="str">
            <v>-</v>
          </cell>
        </row>
        <row r="4242">
          <cell r="A4242" t="str">
            <v/>
          </cell>
          <cell r="AS4242" t="str">
            <v>-</v>
          </cell>
        </row>
        <row r="4243">
          <cell r="A4243" t="str">
            <v/>
          </cell>
          <cell r="AS4243" t="str">
            <v>-</v>
          </cell>
        </row>
        <row r="4244">
          <cell r="A4244" t="str">
            <v/>
          </cell>
          <cell r="AS4244" t="str">
            <v>-</v>
          </cell>
        </row>
        <row r="4245">
          <cell r="A4245" t="str">
            <v/>
          </cell>
          <cell r="AS4245" t="str">
            <v>-</v>
          </cell>
        </row>
        <row r="4246">
          <cell r="A4246" t="str">
            <v/>
          </cell>
          <cell r="AS4246" t="str">
            <v>-</v>
          </cell>
        </row>
        <row r="4247">
          <cell r="A4247" t="str">
            <v/>
          </cell>
          <cell r="AS4247" t="str">
            <v>-</v>
          </cell>
        </row>
        <row r="4248">
          <cell r="A4248" t="str">
            <v/>
          </cell>
          <cell r="AS4248" t="str">
            <v>-</v>
          </cell>
        </row>
        <row r="4249">
          <cell r="A4249" t="str">
            <v/>
          </cell>
          <cell r="AS4249" t="str">
            <v>-</v>
          </cell>
        </row>
        <row r="4250">
          <cell r="A4250" t="str">
            <v/>
          </cell>
          <cell r="AS4250" t="str">
            <v>-</v>
          </cell>
        </row>
        <row r="4251">
          <cell r="A4251" t="str">
            <v/>
          </cell>
          <cell r="AS4251" t="str">
            <v>-</v>
          </cell>
        </row>
        <row r="4252">
          <cell r="A4252" t="str">
            <v/>
          </cell>
          <cell r="AS4252" t="str">
            <v>-</v>
          </cell>
        </row>
        <row r="4253">
          <cell r="A4253" t="str">
            <v/>
          </cell>
          <cell r="AS4253" t="str">
            <v>-</v>
          </cell>
        </row>
        <row r="4254">
          <cell r="A4254" t="str">
            <v/>
          </cell>
          <cell r="AS4254" t="str">
            <v>-</v>
          </cell>
        </row>
        <row r="4255">
          <cell r="A4255" t="str">
            <v/>
          </cell>
          <cell r="AS4255" t="str">
            <v>-</v>
          </cell>
        </row>
        <row r="4256">
          <cell r="A4256" t="str">
            <v/>
          </cell>
          <cell r="AS4256" t="str">
            <v>-</v>
          </cell>
        </row>
        <row r="4257">
          <cell r="A4257" t="str">
            <v/>
          </cell>
          <cell r="AS4257" t="str">
            <v>-</v>
          </cell>
        </row>
        <row r="4258">
          <cell r="A4258" t="str">
            <v/>
          </cell>
          <cell r="AS4258" t="str">
            <v>-</v>
          </cell>
        </row>
        <row r="4259">
          <cell r="A4259" t="str">
            <v/>
          </cell>
          <cell r="AS4259" t="str">
            <v>-</v>
          </cell>
        </row>
        <row r="4260">
          <cell r="A4260" t="str">
            <v/>
          </cell>
          <cell r="AS4260" t="str">
            <v>-</v>
          </cell>
        </row>
        <row r="4261">
          <cell r="A4261" t="str">
            <v/>
          </cell>
          <cell r="AS4261" t="str">
            <v>-</v>
          </cell>
        </row>
        <row r="4262">
          <cell r="A4262" t="str">
            <v/>
          </cell>
          <cell r="AS4262" t="str">
            <v>-</v>
          </cell>
        </row>
        <row r="4263">
          <cell r="A4263" t="str">
            <v/>
          </cell>
          <cell r="AS4263" t="str">
            <v>-</v>
          </cell>
        </row>
        <row r="4264">
          <cell r="A4264" t="str">
            <v/>
          </cell>
          <cell r="AS4264" t="str">
            <v>-</v>
          </cell>
        </row>
        <row r="4265">
          <cell r="A4265" t="str">
            <v/>
          </cell>
          <cell r="AS4265" t="str">
            <v>-</v>
          </cell>
        </row>
        <row r="4266">
          <cell r="A4266" t="str">
            <v/>
          </cell>
          <cell r="AS4266" t="str">
            <v>-</v>
          </cell>
        </row>
        <row r="4267">
          <cell r="A4267" t="str">
            <v/>
          </cell>
          <cell r="AS4267" t="str">
            <v>-</v>
          </cell>
        </row>
        <row r="4268">
          <cell r="A4268" t="str">
            <v/>
          </cell>
          <cell r="AS4268" t="str">
            <v>-</v>
          </cell>
        </row>
        <row r="4269">
          <cell r="A4269" t="str">
            <v/>
          </cell>
          <cell r="AS4269" t="str">
            <v>-</v>
          </cell>
        </row>
        <row r="4270">
          <cell r="A4270" t="str">
            <v/>
          </cell>
          <cell r="AS4270" t="str">
            <v>-</v>
          </cell>
        </row>
        <row r="4271">
          <cell r="A4271" t="str">
            <v/>
          </cell>
          <cell r="AS4271" t="str">
            <v>-</v>
          </cell>
        </row>
        <row r="4272">
          <cell r="A4272" t="str">
            <v/>
          </cell>
          <cell r="AS4272" t="str">
            <v>-</v>
          </cell>
        </row>
        <row r="4273">
          <cell r="A4273" t="str">
            <v/>
          </cell>
          <cell r="AS4273" t="str">
            <v>-</v>
          </cell>
        </row>
        <row r="4274">
          <cell r="A4274" t="str">
            <v/>
          </cell>
          <cell r="AS4274" t="str">
            <v>-</v>
          </cell>
        </row>
        <row r="4275">
          <cell r="A4275" t="str">
            <v/>
          </cell>
          <cell r="AS4275" t="str">
            <v>-</v>
          </cell>
        </row>
        <row r="4276">
          <cell r="A4276" t="str">
            <v/>
          </cell>
          <cell r="AS4276" t="str">
            <v>-</v>
          </cell>
        </row>
        <row r="4277">
          <cell r="A4277" t="str">
            <v/>
          </cell>
          <cell r="AS4277" t="str">
            <v>-</v>
          </cell>
        </row>
        <row r="4278">
          <cell r="A4278" t="str">
            <v/>
          </cell>
          <cell r="AS4278" t="str">
            <v>-</v>
          </cell>
        </row>
        <row r="4279">
          <cell r="A4279" t="str">
            <v/>
          </cell>
          <cell r="AS4279" t="str">
            <v>-</v>
          </cell>
        </row>
        <row r="4280">
          <cell r="A4280" t="str">
            <v/>
          </cell>
          <cell r="AS4280" t="str">
            <v>-</v>
          </cell>
        </row>
        <row r="4281">
          <cell r="A4281" t="str">
            <v/>
          </cell>
          <cell r="AS4281" t="str">
            <v>-</v>
          </cell>
        </row>
        <row r="4282">
          <cell r="A4282" t="str">
            <v/>
          </cell>
          <cell r="AS4282" t="str">
            <v>-</v>
          </cell>
        </row>
        <row r="4283">
          <cell r="A4283" t="str">
            <v/>
          </cell>
          <cell r="AS4283" t="str">
            <v>-</v>
          </cell>
        </row>
        <row r="4284">
          <cell r="A4284" t="str">
            <v/>
          </cell>
          <cell r="AS4284" t="str">
            <v>-</v>
          </cell>
        </row>
        <row r="4285">
          <cell r="A4285" t="str">
            <v/>
          </cell>
          <cell r="AS4285" t="str">
            <v>-</v>
          </cell>
        </row>
        <row r="4286">
          <cell r="A4286" t="str">
            <v/>
          </cell>
          <cell r="AS4286" t="str">
            <v>-</v>
          </cell>
        </row>
        <row r="4287">
          <cell r="A4287" t="str">
            <v/>
          </cell>
          <cell r="AS4287" t="str">
            <v>-</v>
          </cell>
        </row>
        <row r="4288">
          <cell r="A4288" t="str">
            <v/>
          </cell>
          <cell r="AS4288" t="str">
            <v>-</v>
          </cell>
        </row>
        <row r="4289">
          <cell r="A4289" t="str">
            <v/>
          </cell>
          <cell r="AS4289" t="str">
            <v>-</v>
          </cell>
        </row>
        <row r="4290">
          <cell r="A4290" t="str">
            <v/>
          </cell>
          <cell r="AS4290" t="str">
            <v>-</v>
          </cell>
        </row>
        <row r="4291">
          <cell r="A4291" t="str">
            <v/>
          </cell>
          <cell r="AS4291" t="str">
            <v>-</v>
          </cell>
        </row>
        <row r="4292">
          <cell r="A4292" t="str">
            <v/>
          </cell>
          <cell r="AS4292" t="str">
            <v>-</v>
          </cell>
        </row>
        <row r="4293">
          <cell r="A4293" t="str">
            <v/>
          </cell>
          <cell r="AS4293" t="str">
            <v>-</v>
          </cell>
        </row>
        <row r="4294">
          <cell r="A4294" t="str">
            <v/>
          </cell>
          <cell r="AS4294" t="str">
            <v>-</v>
          </cell>
        </row>
        <row r="4295">
          <cell r="A4295" t="str">
            <v/>
          </cell>
          <cell r="AS4295" t="str">
            <v>-</v>
          </cell>
        </row>
        <row r="4296">
          <cell r="A4296" t="str">
            <v/>
          </cell>
          <cell r="AS4296" t="str">
            <v>-</v>
          </cell>
        </row>
        <row r="4297">
          <cell r="A4297" t="str">
            <v/>
          </cell>
          <cell r="AS4297" t="str">
            <v>-</v>
          </cell>
        </row>
        <row r="4298">
          <cell r="A4298" t="str">
            <v/>
          </cell>
          <cell r="AS4298" t="str">
            <v>-</v>
          </cell>
        </row>
        <row r="4299">
          <cell r="A4299" t="str">
            <v/>
          </cell>
          <cell r="AS4299" t="str">
            <v>-</v>
          </cell>
        </row>
        <row r="4300">
          <cell r="A4300" t="str">
            <v/>
          </cell>
          <cell r="AS4300" t="str">
            <v>-</v>
          </cell>
        </row>
        <row r="4301">
          <cell r="A4301" t="str">
            <v/>
          </cell>
          <cell r="AS4301" t="str">
            <v>-</v>
          </cell>
        </row>
        <row r="4302">
          <cell r="A4302" t="str">
            <v/>
          </cell>
          <cell r="AS4302" t="str">
            <v>-</v>
          </cell>
        </row>
        <row r="4303">
          <cell r="A4303" t="str">
            <v/>
          </cell>
          <cell r="AS4303" t="str">
            <v>-</v>
          </cell>
        </row>
        <row r="4304">
          <cell r="A4304" t="str">
            <v/>
          </cell>
          <cell r="AS4304" t="str">
            <v>-</v>
          </cell>
        </row>
        <row r="4305">
          <cell r="A4305" t="str">
            <v/>
          </cell>
          <cell r="AS4305" t="str">
            <v>-</v>
          </cell>
        </row>
        <row r="4306">
          <cell r="A4306" t="str">
            <v/>
          </cell>
          <cell r="AS4306" t="str">
            <v>-</v>
          </cell>
        </row>
        <row r="4307">
          <cell r="A4307" t="str">
            <v/>
          </cell>
          <cell r="AS4307" t="str">
            <v>-</v>
          </cell>
        </row>
        <row r="4308">
          <cell r="A4308" t="str">
            <v/>
          </cell>
          <cell r="AS4308" t="str">
            <v>-</v>
          </cell>
        </row>
        <row r="4309">
          <cell r="A4309" t="str">
            <v/>
          </cell>
          <cell r="AS4309" t="str">
            <v>-</v>
          </cell>
        </row>
        <row r="4310">
          <cell r="A4310" t="str">
            <v/>
          </cell>
          <cell r="AS4310" t="str">
            <v>-</v>
          </cell>
        </row>
        <row r="4311">
          <cell r="A4311" t="str">
            <v/>
          </cell>
          <cell r="AS4311" t="str">
            <v>-</v>
          </cell>
        </row>
        <row r="4312">
          <cell r="A4312" t="str">
            <v/>
          </cell>
          <cell r="AS4312" t="str">
            <v>-</v>
          </cell>
        </row>
        <row r="4313">
          <cell r="A4313" t="str">
            <v/>
          </cell>
          <cell r="AS4313" t="str">
            <v>-</v>
          </cell>
        </row>
        <row r="4314">
          <cell r="A4314" t="str">
            <v/>
          </cell>
          <cell r="AS4314" t="str">
            <v>-</v>
          </cell>
        </row>
        <row r="4315">
          <cell r="A4315" t="str">
            <v/>
          </cell>
          <cell r="AS4315" t="str">
            <v>-</v>
          </cell>
        </row>
        <row r="4316">
          <cell r="A4316" t="str">
            <v/>
          </cell>
          <cell r="AS4316" t="str">
            <v>-</v>
          </cell>
        </row>
        <row r="4317">
          <cell r="A4317" t="str">
            <v/>
          </cell>
          <cell r="AS4317" t="str">
            <v>-</v>
          </cell>
        </row>
        <row r="4318">
          <cell r="A4318" t="str">
            <v/>
          </cell>
          <cell r="AS4318" t="str">
            <v>-</v>
          </cell>
        </row>
        <row r="4319">
          <cell r="A4319" t="str">
            <v/>
          </cell>
          <cell r="AS4319" t="str">
            <v>-</v>
          </cell>
        </row>
        <row r="4320">
          <cell r="A4320" t="str">
            <v/>
          </cell>
          <cell r="AS4320" t="str">
            <v>-</v>
          </cell>
        </row>
        <row r="4321">
          <cell r="A4321" t="str">
            <v/>
          </cell>
          <cell r="AS4321" t="str">
            <v>-</v>
          </cell>
        </row>
        <row r="4322">
          <cell r="A4322" t="str">
            <v/>
          </cell>
          <cell r="AS4322" t="str">
            <v>-</v>
          </cell>
        </row>
        <row r="4323">
          <cell r="A4323" t="str">
            <v/>
          </cell>
          <cell r="AS4323" t="str">
            <v>-</v>
          </cell>
        </row>
        <row r="4324">
          <cell r="A4324" t="str">
            <v/>
          </cell>
          <cell r="AS4324" t="str">
            <v>-</v>
          </cell>
        </row>
        <row r="4325">
          <cell r="A4325" t="str">
            <v/>
          </cell>
          <cell r="AS4325" t="str">
            <v>-</v>
          </cell>
        </row>
        <row r="4326">
          <cell r="A4326" t="str">
            <v/>
          </cell>
          <cell r="AS4326" t="str">
            <v>-</v>
          </cell>
        </row>
        <row r="4327">
          <cell r="A4327" t="str">
            <v/>
          </cell>
          <cell r="AS4327" t="str">
            <v>-</v>
          </cell>
        </row>
        <row r="4328">
          <cell r="A4328" t="str">
            <v/>
          </cell>
          <cell r="AS4328" t="str">
            <v>-</v>
          </cell>
        </row>
        <row r="4329">
          <cell r="A4329" t="str">
            <v/>
          </cell>
          <cell r="AS4329" t="str">
            <v>-</v>
          </cell>
        </row>
        <row r="4330">
          <cell r="A4330" t="str">
            <v/>
          </cell>
          <cell r="AS4330" t="str">
            <v>-</v>
          </cell>
        </row>
        <row r="4331">
          <cell r="A4331" t="str">
            <v/>
          </cell>
          <cell r="AS4331" t="str">
            <v>-</v>
          </cell>
        </row>
        <row r="4332">
          <cell r="A4332" t="str">
            <v/>
          </cell>
          <cell r="AS4332" t="str">
            <v>-</v>
          </cell>
        </row>
        <row r="4333">
          <cell r="A4333" t="str">
            <v/>
          </cell>
          <cell r="AS4333" t="str">
            <v>-</v>
          </cell>
        </row>
        <row r="4334">
          <cell r="A4334" t="str">
            <v/>
          </cell>
          <cell r="AS4334" t="str">
            <v>-</v>
          </cell>
        </row>
        <row r="4335">
          <cell r="A4335" t="str">
            <v/>
          </cell>
          <cell r="AS4335" t="str">
            <v>-</v>
          </cell>
        </row>
        <row r="4336">
          <cell r="A4336" t="str">
            <v/>
          </cell>
          <cell r="AS4336" t="str">
            <v>-</v>
          </cell>
        </row>
        <row r="4337">
          <cell r="A4337" t="str">
            <v/>
          </cell>
          <cell r="AS4337" t="str">
            <v>-</v>
          </cell>
        </row>
        <row r="4338">
          <cell r="A4338" t="str">
            <v/>
          </cell>
          <cell r="AS4338" t="str">
            <v>-</v>
          </cell>
        </row>
        <row r="4339">
          <cell r="A4339" t="str">
            <v/>
          </cell>
          <cell r="AS4339" t="str">
            <v>-</v>
          </cell>
        </row>
        <row r="4340">
          <cell r="A4340" t="str">
            <v/>
          </cell>
          <cell r="AS4340" t="str">
            <v>-</v>
          </cell>
        </row>
        <row r="4341">
          <cell r="A4341" t="str">
            <v/>
          </cell>
          <cell r="AS4341" t="str">
            <v>-</v>
          </cell>
        </row>
        <row r="4342">
          <cell r="A4342" t="str">
            <v/>
          </cell>
          <cell r="AS4342" t="str">
            <v>-</v>
          </cell>
        </row>
        <row r="4343">
          <cell r="A4343" t="str">
            <v/>
          </cell>
          <cell r="AS4343" t="str">
            <v>-</v>
          </cell>
        </row>
        <row r="4344">
          <cell r="A4344" t="str">
            <v/>
          </cell>
          <cell r="AS4344" t="str">
            <v>-</v>
          </cell>
        </row>
        <row r="4345">
          <cell r="A4345" t="str">
            <v/>
          </cell>
          <cell r="AS4345" t="str">
            <v>-</v>
          </cell>
        </row>
        <row r="4346">
          <cell r="A4346" t="str">
            <v/>
          </cell>
          <cell r="AS4346" t="str">
            <v>-</v>
          </cell>
        </row>
        <row r="4347">
          <cell r="A4347" t="str">
            <v/>
          </cell>
          <cell r="AS4347" t="str">
            <v>-</v>
          </cell>
        </row>
        <row r="4348">
          <cell r="A4348" t="str">
            <v/>
          </cell>
          <cell r="AS4348" t="str">
            <v>-</v>
          </cell>
        </row>
        <row r="4349">
          <cell r="A4349" t="str">
            <v/>
          </cell>
          <cell r="AS4349" t="str">
            <v>-</v>
          </cell>
        </row>
        <row r="4350">
          <cell r="A4350" t="str">
            <v/>
          </cell>
          <cell r="AS4350" t="str">
            <v>-</v>
          </cell>
        </row>
        <row r="4351">
          <cell r="A4351" t="str">
            <v/>
          </cell>
          <cell r="AS4351" t="str">
            <v>-</v>
          </cell>
        </row>
        <row r="4352">
          <cell r="A4352" t="str">
            <v/>
          </cell>
          <cell r="AS4352" t="str">
            <v>-</v>
          </cell>
        </row>
        <row r="4353">
          <cell r="A4353" t="str">
            <v/>
          </cell>
          <cell r="AS4353" t="str">
            <v>-</v>
          </cell>
        </row>
        <row r="4354">
          <cell r="A4354" t="str">
            <v/>
          </cell>
          <cell r="AS4354" t="str">
            <v>-</v>
          </cell>
        </row>
        <row r="4355">
          <cell r="A4355" t="str">
            <v/>
          </cell>
          <cell r="AS4355" t="str">
            <v>-</v>
          </cell>
        </row>
        <row r="4356">
          <cell r="A4356" t="str">
            <v/>
          </cell>
          <cell r="AS4356" t="str">
            <v>-</v>
          </cell>
        </row>
        <row r="4357">
          <cell r="A4357" t="str">
            <v/>
          </cell>
          <cell r="AS4357" t="str">
            <v>-</v>
          </cell>
        </row>
        <row r="4358">
          <cell r="A4358" t="str">
            <v/>
          </cell>
          <cell r="AS4358" t="str">
            <v>-</v>
          </cell>
        </row>
        <row r="4359">
          <cell r="A4359" t="str">
            <v/>
          </cell>
          <cell r="AS4359" t="str">
            <v>-</v>
          </cell>
        </row>
        <row r="4360">
          <cell r="A4360" t="str">
            <v/>
          </cell>
          <cell r="AS4360" t="str">
            <v>-</v>
          </cell>
        </row>
        <row r="4361">
          <cell r="A4361" t="str">
            <v/>
          </cell>
          <cell r="AS4361" t="str">
            <v>-</v>
          </cell>
        </row>
        <row r="4362">
          <cell r="A4362" t="str">
            <v/>
          </cell>
          <cell r="AS4362" t="str">
            <v>-</v>
          </cell>
        </row>
        <row r="4363">
          <cell r="A4363" t="str">
            <v/>
          </cell>
          <cell r="AS4363" t="str">
            <v>-</v>
          </cell>
        </row>
        <row r="4364">
          <cell r="A4364" t="str">
            <v/>
          </cell>
          <cell r="AS4364" t="str">
            <v>-</v>
          </cell>
        </row>
        <row r="4365">
          <cell r="A4365" t="str">
            <v/>
          </cell>
          <cell r="AS4365" t="str">
            <v>-</v>
          </cell>
        </row>
        <row r="4366">
          <cell r="A4366" t="str">
            <v/>
          </cell>
          <cell r="AS4366" t="str">
            <v>-</v>
          </cell>
        </row>
        <row r="4367">
          <cell r="A4367" t="str">
            <v/>
          </cell>
          <cell r="AS4367" t="str">
            <v>-</v>
          </cell>
        </row>
        <row r="4368">
          <cell r="A4368" t="str">
            <v/>
          </cell>
          <cell r="AS4368" t="str">
            <v>-</v>
          </cell>
        </row>
        <row r="4369">
          <cell r="A4369" t="str">
            <v/>
          </cell>
          <cell r="AS4369" t="str">
            <v>-</v>
          </cell>
        </row>
        <row r="4370">
          <cell r="A4370" t="str">
            <v/>
          </cell>
          <cell r="AS4370" t="str">
            <v>-</v>
          </cell>
        </row>
        <row r="4371">
          <cell r="A4371" t="str">
            <v/>
          </cell>
          <cell r="AS4371" t="str">
            <v>-</v>
          </cell>
        </row>
        <row r="4372">
          <cell r="A4372" t="str">
            <v/>
          </cell>
          <cell r="AS4372" t="str">
            <v>-</v>
          </cell>
        </row>
        <row r="4373">
          <cell r="A4373" t="str">
            <v/>
          </cell>
          <cell r="AS4373" t="str">
            <v>-</v>
          </cell>
        </row>
        <row r="4374">
          <cell r="A4374" t="str">
            <v/>
          </cell>
          <cell r="AS4374" t="str">
            <v>-</v>
          </cell>
        </row>
        <row r="4375">
          <cell r="A4375" t="str">
            <v/>
          </cell>
          <cell r="AS4375" t="str">
            <v>-</v>
          </cell>
        </row>
        <row r="4376">
          <cell r="A4376" t="str">
            <v/>
          </cell>
          <cell r="AS4376" t="str">
            <v>-</v>
          </cell>
        </row>
        <row r="4377">
          <cell r="A4377" t="str">
            <v/>
          </cell>
          <cell r="AS4377" t="str">
            <v>-</v>
          </cell>
        </row>
        <row r="4378">
          <cell r="A4378" t="str">
            <v/>
          </cell>
          <cell r="AS4378" t="str">
            <v>-</v>
          </cell>
        </row>
        <row r="4379">
          <cell r="A4379" t="str">
            <v/>
          </cell>
          <cell r="AS4379" t="str">
            <v>-</v>
          </cell>
        </row>
        <row r="4380">
          <cell r="A4380" t="str">
            <v/>
          </cell>
          <cell r="AS4380" t="str">
            <v>-</v>
          </cell>
        </row>
        <row r="4381">
          <cell r="A4381" t="str">
            <v/>
          </cell>
          <cell r="AS4381" t="str">
            <v>-</v>
          </cell>
        </row>
        <row r="4382">
          <cell r="A4382" t="str">
            <v/>
          </cell>
          <cell r="AS4382" t="str">
            <v>-</v>
          </cell>
        </row>
        <row r="4383">
          <cell r="A4383" t="str">
            <v/>
          </cell>
          <cell r="AS4383" t="str">
            <v>-</v>
          </cell>
        </row>
        <row r="4384">
          <cell r="A4384" t="str">
            <v/>
          </cell>
          <cell r="AS4384" t="str">
            <v>-</v>
          </cell>
        </row>
        <row r="4385">
          <cell r="A4385" t="str">
            <v/>
          </cell>
          <cell r="AS4385" t="str">
            <v>-</v>
          </cell>
        </row>
        <row r="4386">
          <cell r="A4386" t="str">
            <v/>
          </cell>
          <cell r="AS4386" t="str">
            <v>-</v>
          </cell>
        </row>
        <row r="4387">
          <cell r="A4387" t="str">
            <v/>
          </cell>
          <cell r="AS4387" t="str">
            <v>-</v>
          </cell>
        </row>
        <row r="4388">
          <cell r="A4388" t="str">
            <v/>
          </cell>
          <cell r="AS4388" t="str">
            <v>-</v>
          </cell>
        </row>
        <row r="4389">
          <cell r="A4389" t="str">
            <v/>
          </cell>
          <cell r="AS4389" t="str">
            <v>-</v>
          </cell>
        </row>
        <row r="4390">
          <cell r="A4390" t="str">
            <v/>
          </cell>
          <cell r="AS4390" t="str">
            <v>-</v>
          </cell>
        </row>
        <row r="4391">
          <cell r="A4391" t="str">
            <v/>
          </cell>
          <cell r="AS4391" t="str">
            <v>-</v>
          </cell>
        </row>
        <row r="4392">
          <cell r="A4392" t="str">
            <v/>
          </cell>
          <cell r="AS4392" t="str">
            <v>-</v>
          </cell>
        </row>
        <row r="4393">
          <cell r="A4393" t="str">
            <v/>
          </cell>
          <cell r="AS4393" t="str">
            <v>-</v>
          </cell>
        </row>
        <row r="4394">
          <cell r="A4394" t="str">
            <v/>
          </cell>
          <cell r="AS4394" t="str">
            <v>-</v>
          </cell>
        </row>
        <row r="4395">
          <cell r="A4395" t="str">
            <v/>
          </cell>
          <cell r="AS4395" t="str">
            <v>-</v>
          </cell>
        </row>
        <row r="4396">
          <cell r="A4396" t="str">
            <v/>
          </cell>
          <cell r="AS4396" t="str">
            <v>-</v>
          </cell>
        </row>
        <row r="4397">
          <cell r="A4397" t="str">
            <v/>
          </cell>
          <cell r="AS4397" t="str">
            <v>-</v>
          </cell>
        </row>
        <row r="4398">
          <cell r="A4398" t="str">
            <v/>
          </cell>
          <cell r="AS4398" t="str">
            <v>-</v>
          </cell>
        </row>
        <row r="4399">
          <cell r="A4399" t="str">
            <v/>
          </cell>
          <cell r="AS4399" t="str">
            <v>-</v>
          </cell>
        </row>
        <row r="4400">
          <cell r="A4400" t="str">
            <v/>
          </cell>
          <cell r="AS4400" t="str">
            <v>-</v>
          </cell>
        </row>
        <row r="4401">
          <cell r="A4401" t="str">
            <v/>
          </cell>
          <cell r="AS4401" t="str">
            <v>-</v>
          </cell>
        </row>
        <row r="4402">
          <cell r="A4402" t="str">
            <v/>
          </cell>
          <cell r="AS4402" t="str">
            <v>-</v>
          </cell>
        </row>
        <row r="4403">
          <cell r="A4403" t="str">
            <v/>
          </cell>
          <cell r="AS4403" t="str">
            <v>-</v>
          </cell>
        </row>
        <row r="4404">
          <cell r="A4404" t="str">
            <v/>
          </cell>
          <cell r="AS4404" t="str">
            <v>-</v>
          </cell>
        </row>
        <row r="4405">
          <cell r="A4405" t="str">
            <v/>
          </cell>
          <cell r="AS4405" t="str">
            <v>-</v>
          </cell>
        </row>
        <row r="4406">
          <cell r="A4406" t="str">
            <v/>
          </cell>
          <cell r="AS4406" t="str">
            <v>-</v>
          </cell>
        </row>
        <row r="4407">
          <cell r="A4407" t="str">
            <v/>
          </cell>
          <cell r="AS4407" t="str">
            <v>-</v>
          </cell>
        </row>
        <row r="4408">
          <cell r="A4408" t="str">
            <v/>
          </cell>
          <cell r="AS4408" t="str">
            <v>-</v>
          </cell>
        </row>
        <row r="4409">
          <cell r="A4409" t="str">
            <v/>
          </cell>
          <cell r="AS4409" t="str">
            <v>-</v>
          </cell>
        </row>
        <row r="4410">
          <cell r="A4410" t="str">
            <v/>
          </cell>
          <cell r="AS4410" t="str">
            <v>-</v>
          </cell>
        </row>
        <row r="4411">
          <cell r="A4411" t="str">
            <v/>
          </cell>
          <cell r="AS4411" t="str">
            <v>-</v>
          </cell>
        </row>
        <row r="4412">
          <cell r="A4412" t="str">
            <v/>
          </cell>
          <cell r="AS4412" t="str">
            <v>-</v>
          </cell>
        </row>
        <row r="4413">
          <cell r="A4413" t="str">
            <v/>
          </cell>
          <cell r="AS4413" t="str">
            <v>-</v>
          </cell>
        </row>
        <row r="4414">
          <cell r="A4414" t="str">
            <v/>
          </cell>
          <cell r="AS4414" t="str">
            <v>-</v>
          </cell>
        </row>
        <row r="4415">
          <cell r="A4415" t="str">
            <v/>
          </cell>
          <cell r="AS4415" t="str">
            <v>-</v>
          </cell>
        </row>
        <row r="4416">
          <cell r="A4416" t="str">
            <v/>
          </cell>
          <cell r="AS4416" t="str">
            <v>-</v>
          </cell>
        </row>
        <row r="4417">
          <cell r="A4417" t="str">
            <v/>
          </cell>
          <cell r="AS4417" t="str">
            <v>-</v>
          </cell>
        </row>
        <row r="4418">
          <cell r="A4418" t="str">
            <v/>
          </cell>
          <cell r="AS4418" t="str">
            <v>-</v>
          </cell>
        </row>
        <row r="4419">
          <cell r="A4419" t="str">
            <v/>
          </cell>
          <cell r="AS4419" t="str">
            <v>-</v>
          </cell>
        </row>
        <row r="4420">
          <cell r="A4420" t="str">
            <v/>
          </cell>
          <cell r="AS4420" t="str">
            <v>-</v>
          </cell>
        </row>
        <row r="4421">
          <cell r="A4421" t="str">
            <v/>
          </cell>
          <cell r="AS4421" t="str">
            <v>-</v>
          </cell>
        </row>
        <row r="4422">
          <cell r="A4422" t="str">
            <v/>
          </cell>
          <cell r="AS4422" t="str">
            <v>-</v>
          </cell>
        </row>
        <row r="4423">
          <cell r="A4423" t="str">
            <v/>
          </cell>
          <cell r="AS4423" t="str">
            <v>-</v>
          </cell>
        </row>
        <row r="4424">
          <cell r="A4424" t="str">
            <v/>
          </cell>
          <cell r="AS4424" t="str">
            <v>-</v>
          </cell>
        </row>
        <row r="4425">
          <cell r="A4425" t="str">
            <v/>
          </cell>
          <cell r="AS4425" t="str">
            <v>-</v>
          </cell>
        </row>
        <row r="4426">
          <cell r="A4426" t="str">
            <v/>
          </cell>
          <cell r="AS4426" t="str">
            <v>-</v>
          </cell>
        </row>
        <row r="4427">
          <cell r="A4427" t="str">
            <v/>
          </cell>
          <cell r="AS4427" t="str">
            <v>-</v>
          </cell>
        </row>
        <row r="4428">
          <cell r="A4428" t="str">
            <v/>
          </cell>
          <cell r="AS4428" t="str">
            <v>-</v>
          </cell>
        </row>
        <row r="4429">
          <cell r="A4429" t="str">
            <v/>
          </cell>
          <cell r="AS4429" t="str">
            <v>-</v>
          </cell>
        </row>
        <row r="4430">
          <cell r="A4430" t="str">
            <v/>
          </cell>
          <cell r="AS4430" t="str">
            <v>-</v>
          </cell>
        </row>
        <row r="4431">
          <cell r="A4431" t="str">
            <v/>
          </cell>
          <cell r="AS4431" t="str">
            <v>-</v>
          </cell>
        </row>
        <row r="4432">
          <cell r="A4432" t="str">
            <v/>
          </cell>
          <cell r="AS4432" t="str">
            <v>-</v>
          </cell>
        </row>
        <row r="4433">
          <cell r="A4433" t="str">
            <v/>
          </cell>
          <cell r="AS4433" t="str">
            <v>-</v>
          </cell>
        </row>
        <row r="4434">
          <cell r="A4434" t="str">
            <v/>
          </cell>
          <cell r="AS4434" t="str">
            <v>-</v>
          </cell>
        </row>
        <row r="4435">
          <cell r="A4435" t="str">
            <v/>
          </cell>
          <cell r="AS4435" t="str">
            <v>-</v>
          </cell>
        </row>
        <row r="4436">
          <cell r="A4436" t="str">
            <v/>
          </cell>
          <cell r="AS4436" t="str">
            <v>-</v>
          </cell>
        </row>
        <row r="4437">
          <cell r="A4437" t="str">
            <v/>
          </cell>
          <cell r="AS4437" t="str">
            <v>-</v>
          </cell>
        </row>
        <row r="4438">
          <cell r="A4438" t="str">
            <v/>
          </cell>
          <cell r="AS4438" t="str">
            <v>-</v>
          </cell>
        </row>
        <row r="4439">
          <cell r="A4439" t="str">
            <v/>
          </cell>
          <cell r="AS4439" t="str">
            <v>-</v>
          </cell>
        </row>
        <row r="4440">
          <cell r="A4440" t="str">
            <v/>
          </cell>
          <cell r="AS4440" t="str">
            <v>-</v>
          </cell>
        </row>
        <row r="4441">
          <cell r="A4441" t="str">
            <v/>
          </cell>
          <cell r="AS4441" t="str">
            <v>-</v>
          </cell>
        </row>
        <row r="4442">
          <cell r="A4442" t="str">
            <v/>
          </cell>
          <cell r="AS4442" t="str">
            <v>-</v>
          </cell>
        </row>
        <row r="4443">
          <cell r="A4443" t="str">
            <v/>
          </cell>
          <cell r="AS4443" t="str">
            <v>-</v>
          </cell>
        </row>
        <row r="4444">
          <cell r="A4444" t="str">
            <v/>
          </cell>
          <cell r="AS4444" t="str">
            <v>-</v>
          </cell>
        </row>
        <row r="4445">
          <cell r="A4445" t="str">
            <v/>
          </cell>
          <cell r="AS4445" t="str">
            <v>-</v>
          </cell>
        </row>
        <row r="4446">
          <cell r="A4446" t="str">
            <v/>
          </cell>
          <cell r="AS4446" t="str">
            <v>-</v>
          </cell>
        </row>
        <row r="4447">
          <cell r="A4447" t="str">
            <v/>
          </cell>
          <cell r="AS4447" t="str">
            <v>-</v>
          </cell>
        </row>
        <row r="4448">
          <cell r="A4448" t="str">
            <v/>
          </cell>
          <cell r="AS4448" t="str">
            <v>-</v>
          </cell>
        </row>
        <row r="4449">
          <cell r="A4449" t="str">
            <v/>
          </cell>
          <cell r="AS4449" t="str">
            <v>-</v>
          </cell>
        </row>
        <row r="4450">
          <cell r="A4450" t="str">
            <v/>
          </cell>
          <cell r="AS4450" t="str">
            <v>-</v>
          </cell>
        </row>
        <row r="4451">
          <cell r="A4451" t="str">
            <v/>
          </cell>
          <cell r="AS4451" t="str">
            <v>-</v>
          </cell>
        </row>
        <row r="4452">
          <cell r="A4452" t="str">
            <v/>
          </cell>
          <cell r="AS4452" t="str">
            <v>-</v>
          </cell>
        </row>
        <row r="4453">
          <cell r="A4453" t="str">
            <v/>
          </cell>
          <cell r="AS4453" t="str">
            <v>-</v>
          </cell>
        </row>
        <row r="4454">
          <cell r="A4454" t="str">
            <v/>
          </cell>
          <cell r="AS4454" t="str">
            <v>-</v>
          </cell>
        </row>
        <row r="4455">
          <cell r="A4455" t="str">
            <v/>
          </cell>
          <cell r="AS4455" t="str">
            <v>-</v>
          </cell>
        </row>
        <row r="4456">
          <cell r="A4456" t="str">
            <v/>
          </cell>
          <cell r="AS4456" t="str">
            <v>-</v>
          </cell>
        </row>
        <row r="4457">
          <cell r="A4457" t="str">
            <v/>
          </cell>
          <cell r="AS4457" t="str">
            <v>-</v>
          </cell>
        </row>
        <row r="4458">
          <cell r="A4458" t="str">
            <v/>
          </cell>
          <cell r="AS4458" t="str">
            <v>-</v>
          </cell>
        </row>
        <row r="4459">
          <cell r="A4459" t="str">
            <v/>
          </cell>
          <cell r="AS4459" t="str">
            <v>-</v>
          </cell>
        </row>
        <row r="4460">
          <cell r="A4460" t="str">
            <v/>
          </cell>
          <cell r="AS4460" t="str">
            <v>-</v>
          </cell>
        </row>
        <row r="4461">
          <cell r="A4461" t="str">
            <v/>
          </cell>
          <cell r="AS4461" t="str">
            <v>-</v>
          </cell>
        </row>
        <row r="4462">
          <cell r="A4462" t="str">
            <v/>
          </cell>
          <cell r="AS4462" t="str">
            <v>-</v>
          </cell>
        </row>
        <row r="4463">
          <cell r="A4463" t="str">
            <v/>
          </cell>
          <cell r="AS4463" t="str">
            <v>-</v>
          </cell>
        </row>
        <row r="4464">
          <cell r="A4464" t="str">
            <v/>
          </cell>
          <cell r="AS4464" t="str">
            <v>-</v>
          </cell>
        </row>
        <row r="4465">
          <cell r="A4465" t="str">
            <v/>
          </cell>
          <cell r="AS4465" t="str">
            <v>-</v>
          </cell>
        </row>
        <row r="4466">
          <cell r="A4466" t="str">
            <v/>
          </cell>
          <cell r="AS4466" t="str">
            <v>-</v>
          </cell>
        </row>
        <row r="4467">
          <cell r="A4467" t="str">
            <v/>
          </cell>
          <cell r="AS4467" t="str">
            <v>-</v>
          </cell>
        </row>
        <row r="4468">
          <cell r="A4468" t="str">
            <v/>
          </cell>
          <cell r="AS4468" t="str">
            <v>-</v>
          </cell>
        </row>
        <row r="4469">
          <cell r="A4469" t="str">
            <v/>
          </cell>
          <cell r="AS4469" t="str">
            <v>-</v>
          </cell>
        </row>
        <row r="4470">
          <cell r="A4470" t="str">
            <v/>
          </cell>
          <cell r="AS4470" t="str">
            <v>-</v>
          </cell>
        </row>
        <row r="4471">
          <cell r="A4471" t="str">
            <v/>
          </cell>
          <cell r="AS4471" t="str">
            <v>-</v>
          </cell>
        </row>
        <row r="4472">
          <cell r="A4472" t="str">
            <v/>
          </cell>
          <cell r="AS4472" t="str">
            <v>-</v>
          </cell>
        </row>
        <row r="4473">
          <cell r="A4473" t="str">
            <v/>
          </cell>
          <cell r="AS4473" t="str">
            <v>-</v>
          </cell>
        </row>
        <row r="4474">
          <cell r="A4474" t="str">
            <v/>
          </cell>
          <cell r="AS4474" t="str">
            <v>-</v>
          </cell>
        </row>
        <row r="4475">
          <cell r="A4475" t="str">
            <v/>
          </cell>
          <cell r="AS4475" t="str">
            <v>-</v>
          </cell>
        </row>
        <row r="4476">
          <cell r="A4476" t="str">
            <v/>
          </cell>
          <cell r="AS4476" t="str">
            <v>-</v>
          </cell>
        </row>
        <row r="4477">
          <cell r="A4477" t="str">
            <v/>
          </cell>
          <cell r="AS4477" t="str">
            <v>-</v>
          </cell>
        </row>
        <row r="4478">
          <cell r="A4478" t="str">
            <v/>
          </cell>
          <cell r="AS4478" t="str">
            <v>-</v>
          </cell>
        </row>
        <row r="4479">
          <cell r="A4479" t="str">
            <v/>
          </cell>
          <cell r="AS4479" t="str">
            <v>-</v>
          </cell>
        </row>
        <row r="4480">
          <cell r="A4480" t="str">
            <v/>
          </cell>
          <cell r="AS4480" t="str">
            <v>-</v>
          </cell>
        </row>
        <row r="4481">
          <cell r="A4481" t="str">
            <v/>
          </cell>
          <cell r="AS4481" t="str">
            <v>-</v>
          </cell>
        </row>
        <row r="4482">
          <cell r="A4482" t="str">
            <v/>
          </cell>
          <cell r="AS4482" t="str">
            <v>-</v>
          </cell>
        </row>
        <row r="4483">
          <cell r="A4483" t="str">
            <v/>
          </cell>
          <cell r="AS4483" t="str">
            <v>-</v>
          </cell>
        </row>
        <row r="4484">
          <cell r="A4484" t="str">
            <v/>
          </cell>
          <cell r="AS4484" t="str">
            <v>-</v>
          </cell>
        </row>
        <row r="4485">
          <cell r="A4485" t="str">
            <v/>
          </cell>
          <cell r="AS4485" t="str">
            <v>-</v>
          </cell>
        </row>
        <row r="4486">
          <cell r="A4486" t="str">
            <v/>
          </cell>
          <cell r="AS4486" t="str">
            <v>-</v>
          </cell>
        </row>
        <row r="4487">
          <cell r="A4487" t="str">
            <v/>
          </cell>
          <cell r="AS4487" t="str">
            <v>-</v>
          </cell>
        </row>
        <row r="4488">
          <cell r="A4488" t="str">
            <v/>
          </cell>
          <cell r="AS4488" t="str">
            <v>-</v>
          </cell>
        </row>
        <row r="4489">
          <cell r="A4489" t="str">
            <v/>
          </cell>
          <cell r="AS4489" t="str">
            <v>-</v>
          </cell>
        </row>
        <row r="4490">
          <cell r="A4490" t="str">
            <v/>
          </cell>
          <cell r="AS4490" t="str">
            <v>-</v>
          </cell>
        </row>
        <row r="4491">
          <cell r="A4491" t="str">
            <v/>
          </cell>
          <cell r="AS4491" t="str">
            <v>-</v>
          </cell>
        </row>
        <row r="4492">
          <cell r="A4492" t="str">
            <v/>
          </cell>
          <cell r="AS4492" t="str">
            <v>-</v>
          </cell>
        </row>
        <row r="4493">
          <cell r="A4493" t="str">
            <v/>
          </cell>
          <cell r="AS4493" t="str">
            <v>-</v>
          </cell>
        </row>
        <row r="4494">
          <cell r="A4494" t="str">
            <v/>
          </cell>
          <cell r="AS4494" t="str">
            <v>-</v>
          </cell>
        </row>
        <row r="4495">
          <cell r="A4495" t="str">
            <v/>
          </cell>
          <cell r="AS4495" t="str">
            <v>-</v>
          </cell>
        </row>
        <row r="4496">
          <cell r="A4496" t="str">
            <v/>
          </cell>
          <cell r="AS4496" t="str">
            <v>-</v>
          </cell>
        </row>
        <row r="4497">
          <cell r="A4497" t="str">
            <v/>
          </cell>
          <cell r="AS4497" t="str">
            <v>-</v>
          </cell>
        </row>
        <row r="4498">
          <cell r="A4498" t="str">
            <v/>
          </cell>
          <cell r="AS4498" t="str">
            <v>-</v>
          </cell>
        </row>
        <row r="4499">
          <cell r="A4499" t="str">
            <v/>
          </cell>
          <cell r="AS4499" t="str">
            <v>-</v>
          </cell>
        </row>
        <row r="4500">
          <cell r="A4500" t="str">
            <v/>
          </cell>
          <cell r="AS4500" t="str">
            <v>-</v>
          </cell>
        </row>
        <row r="4501">
          <cell r="A4501" t="str">
            <v/>
          </cell>
          <cell r="AS4501" t="str">
            <v>-</v>
          </cell>
        </row>
        <row r="4502">
          <cell r="A4502" t="str">
            <v/>
          </cell>
          <cell r="AS4502" t="str">
            <v>-</v>
          </cell>
        </row>
        <row r="4503">
          <cell r="A4503" t="str">
            <v/>
          </cell>
          <cell r="AS4503" t="str">
            <v>-</v>
          </cell>
        </row>
        <row r="4504">
          <cell r="A4504" t="str">
            <v/>
          </cell>
          <cell r="AS4504" t="str">
            <v>-</v>
          </cell>
        </row>
        <row r="4505">
          <cell r="A4505" t="str">
            <v/>
          </cell>
          <cell r="AS4505" t="str">
            <v>-</v>
          </cell>
        </row>
        <row r="4506">
          <cell r="A4506" t="str">
            <v/>
          </cell>
          <cell r="AS4506" t="str">
            <v>-</v>
          </cell>
        </row>
        <row r="4507">
          <cell r="A4507" t="str">
            <v/>
          </cell>
          <cell r="AS4507" t="str">
            <v>-</v>
          </cell>
        </row>
        <row r="4508">
          <cell r="A4508" t="str">
            <v/>
          </cell>
          <cell r="AS4508" t="str">
            <v>-</v>
          </cell>
        </row>
        <row r="4509">
          <cell r="A4509" t="str">
            <v/>
          </cell>
          <cell r="AS4509" t="str">
            <v>-</v>
          </cell>
        </row>
        <row r="4510">
          <cell r="A4510" t="str">
            <v/>
          </cell>
          <cell r="AS4510" t="str">
            <v>-</v>
          </cell>
        </row>
        <row r="4511">
          <cell r="A4511" t="str">
            <v/>
          </cell>
          <cell r="AS4511" t="str">
            <v>-</v>
          </cell>
        </row>
        <row r="4512">
          <cell r="A4512" t="str">
            <v/>
          </cell>
          <cell r="AS4512" t="str">
            <v>-</v>
          </cell>
        </row>
        <row r="4513">
          <cell r="A4513" t="str">
            <v/>
          </cell>
          <cell r="AS4513" t="str">
            <v>-</v>
          </cell>
        </row>
        <row r="4514">
          <cell r="A4514" t="str">
            <v/>
          </cell>
          <cell r="AS4514" t="str">
            <v>-</v>
          </cell>
        </row>
        <row r="4515">
          <cell r="A4515" t="str">
            <v/>
          </cell>
          <cell r="AS4515" t="str">
            <v>-</v>
          </cell>
        </row>
        <row r="4516">
          <cell r="A4516" t="str">
            <v/>
          </cell>
          <cell r="AS4516" t="str">
            <v>-</v>
          </cell>
        </row>
        <row r="4517">
          <cell r="A4517" t="str">
            <v/>
          </cell>
          <cell r="AS4517" t="str">
            <v>-</v>
          </cell>
        </row>
        <row r="4518">
          <cell r="A4518" t="str">
            <v/>
          </cell>
          <cell r="AS4518" t="str">
            <v>-</v>
          </cell>
        </row>
        <row r="4519">
          <cell r="A4519" t="str">
            <v/>
          </cell>
          <cell r="AS4519" t="str">
            <v>-</v>
          </cell>
        </row>
        <row r="4520">
          <cell r="A4520" t="str">
            <v/>
          </cell>
          <cell r="AS4520" t="str">
            <v>-</v>
          </cell>
        </row>
        <row r="4521">
          <cell r="A4521" t="str">
            <v/>
          </cell>
          <cell r="AS4521" t="str">
            <v>-</v>
          </cell>
        </row>
        <row r="4522">
          <cell r="A4522" t="str">
            <v/>
          </cell>
          <cell r="AS4522" t="str">
            <v>-</v>
          </cell>
        </row>
        <row r="4523">
          <cell r="A4523" t="str">
            <v/>
          </cell>
          <cell r="AS4523" t="str">
            <v>-</v>
          </cell>
        </row>
        <row r="4524">
          <cell r="A4524" t="str">
            <v/>
          </cell>
          <cell r="AS4524" t="str">
            <v>-</v>
          </cell>
        </row>
        <row r="4525">
          <cell r="A4525" t="str">
            <v/>
          </cell>
          <cell r="AS4525" t="str">
            <v>-</v>
          </cell>
        </row>
        <row r="4526">
          <cell r="A4526" t="str">
            <v/>
          </cell>
          <cell r="AS4526" t="str">
            <v>-</v>
          </cell>
        </row>
        <row r="4527">
          <cell r="A4527" t="str">
            <v/>
          </cell>
          <cell r="AS4527" t="str">
            <v>-</v>
          </cell>
        </row>
        <row r="4528">
          <cell r="A4528" t="str">
            <v/>
          </cell>
          <cell r="AS4528" t="str">
            <v>-</v>
          </cell>
        </row>
        <row r="4529">
          <cell r="A4529" t="str">
            <v/>
          </cell>
          <cell r="AS4529" t="str">
            <v>-</v>
          </cell>
        </row>
        <row r="4530">
          <cell r="A4530" t="str">
            <v/>
          </cell>
          <cell r="AS4530" t="str">
            <v>-</v>
          </cell>
        </row>
        <row r="4531">
          <cell r="A4531" t="str">
            <v/>
          </cell>
          <cell r="AS4531" t="str">
            <v>-</v>
          </cell>
        </row>
        <row r="4532">
          <cell r="A4532" t="str">
            <v/>
          </cell>
          <cell r="AS4532" t="str">
            <v>-</v>
          </cell>
        </row>
        <row r="4533">
          <cell r="A4533" t="str">
            <v/>
          </cell>
          <cell r="AS4533" t="str">
            <v>-</v>
          </cell>
        </row>
        <row r="4534">
          <cell r="A4534" t="str">
            <v/>
          </cell>
          <cell r="AS4534" t="str">
            <v>-</v>
          </cell>
        </row>
        <row r="4535">
          <cell r="A4535" t="str">
            <v/>
          </cell>
          <cell r="AS4535" t="str">
            <v>-</v>
          </cell>
        </row>
        <row r="4536">
          <cell r="A4536" t="str">
            <v/>
          </cell>
          <cell r="AS4536" t="str">
            <v>-</v>
          </cell>
        </row>
        <row r="4537">
          <cell r="A4537" t="str">
            <v/>
          </cell>
          <cell r="AS4537" t="str">
            <v>-</v>
          </cell>
        </row>
        <row r="4538">
          <cell r="A4538" t="str">
            <v/>
          </cell>
          <cell r="AS4538" t="str">
            <v>-</v>
          </cell>
        </row>
        <row r="4539">
          <cell r="A4539" t="str">
            <v/>
          </cell>
          <cell r="AS4539" t="str">
            <v>-</v>
          </cell>
        </row>
        <row r="4540">
          <cell r="A4540" t="str">
            <v/>
          </cell>
          <cell r="AS4540" t="str">
            <v>-</v>
          </cell>
        </row>
        <row r="4541">
          <cell r="A4541" t="str">
            <v/>
          </cell>
          <cell r="AS4541" t="str">
            <v>-</v>
          </cell>
        </row>
        <row r="4542">
          <cell r="A4542" t="str">
            <v/>
          </cell>
          <cell r="AS4542" t="str">
            <v>-</v>
          </cell>
        </row>
        <row r="4543">
          <cell r="A4543" t="str">
            <v/>
          </cell>
          <cell r="AS4543" t="str">
            <v>-</v>
          </cell>
        </row>
        <row r="4544">
          <cell r="A4544" t="str">
            <v/>
          </cell>
          <cell r="AS4544" t="str">
            <v>-</v>
          </cell>
        </row>
        <row r="4545">
          <cell r="A4545" t="str">
            <v/>
          </cell>
          <cell r="AS4545" t="str">
            <v>-</v>
          </cell>
        </row>
        <row r="4546">
          <cell r="A4546" t="str">
            <v/>
          </cell>
          <cell r="AS4546" t="str">
            <v>-</v>
          </cell>
        </row>
        <row r="4547">
          <cell r="A4547" t="str">
            <v/>
          </cell>
          <cell r="AS4547" t="str">
            <v>-</v>
          </cell>
        </row>
        <row r="4548">
          <cell r="A4548" t="str">
            <v/>
          </cell>
          <cell r="AS4548" t="str">
            <v>-</v>
          </cell>
        </row>
        <row r="4549">
          <cell r="A4549" t="str">
            <v/>
          </cell>
          <cell r="AS4549" t="str">
            <v>-</v>
          </cell>
        </row>
        <row r="4550">
          <cell r="A4550" t="str">
            <v/>
          </cell>
          <cell r="AS4550" t="str">
            <v>-</v>
          </cell>
        </row>
        <row r="4551">
          <cell r="A4551" t="str">
            <v/>
          </cell>
          <cell r="AS4551" t="str">
            <v>-</v>
          </cell>
        </row>
        <row r="4552">
          <cell r="A4552" t="str">
            <v/>
          </cell>
          <cell r="AS4552" t="str">
            <v>-</v>
          </cell>
        </row>
        <row r="4553">
          <cell r="A4553" t="str">
            <v/>
          </cell>
          <cell r="AS4553" t="str">
            <v>-</v>
          </cell>
        </row>
        <row r="4554">
          <cell r="A4554" t="str">
            <v/>
          </cell>
          <cell r="AS4554" t="str">
            <v>-</v>
          </cell>
        </row>
        <row r="4555">
          <cell r="A4555" t="str">
            <v/>
          </cell>
          <cell r="AS4555" t="str">
            <v>-</v>
          </cell>
        </row>
        <row r="4556">
          <cell r="A4556" t="str">
            <v/>
          </cell>
          <cell r="AS4556" t="str">
            <v>-</v>
          </cell>
        </row>
        <row r="4557">
          <cell r="A4557" t="str">
            <v/>
          </cell>
          <cell r="AS4557" t="str">
            <v>-</v>
          </cell>
        </row>
        <row r="4558">
          <cell r="A4558" t="str">
            <v/>
          </cell>
          <cell r="AS4558" t="str">
            <v>-</v>
          </cell>
        </row>
        <row r="4559">
          <cell r="A4559" t="str">
            <v/>
          </cell>
          <cell r="AS4559" t="str">
            <v>-</v>
          </cell>
        </row>
        <row r="4560">
          <cell r="A4560" t="str">
            <v/>
          </cell>
          <cell r="AS4560" t="str">
            <v>-</v>
          </cell>
        </row>
        <row r="4561">
          <cell r="A4561" t="str">
            <v/>
          </cell>
          <cell r="AS4561" t="str">
            <v>-</v>
          </cell>
        </row>
        <row r="4562">
          <cell r="A4562" t="str">
            <v/>
          </cell>
          <cell r="AS4562" t="str">
            <v>-</v>
          </cell>
        </row>
        <row r="4563">
          <cell r="A4563" t="str">
            <v/>
          </cell>
          <cell r="AS4563" t="str">
            <v>-</v>
          </cell>
        </row>
        <row r="4564">
          <cell r="A4564" t="str">
            <v/>
          </cell>
          <cell r="AS4564" t="str">
            <v>-</v>
          </cell>
        </row>
        <row r="4565">
          <cell r="A4565" t="str">
            <v/>
          </cell>
          <cell r="AS4565" t="str">
            <v>-</v>
          </cell>
        </row>
        <row r="4566">
          <cell r="A4566" t="str">
            <v/>
          </cell>
          <cell r="AS4566" t="str">
            <v>-</v>
          </cell>
        </row>
        <row r="4567">
          <cell r="A4567" t="str">
            <v/>
          </cell>
          <cell r="AS4567" t="str">
            <v>-</v>
          </cell>
        </row>
        <row r="4568">
          <cell r="A4568" t="str">
            <v/>
          </cell>
          <cell r="AS4568" t="str">
            <v>-</v>
          </cell>
        </row>
        <row r="4569">
          <cell r="A4569" t="str">
            <v/>
          </cell>
          <cell r="AS4569" t="str">
            <v>-</v>
          </cell>
        </row>
        <row r="4570">
          <cell r="A4570" t="str">
            <v/>
          </cell>
          <cell r="AS4570" t="str">
            <v>-</v>
          </cell>
        </row>
        <row r="4571">
          <cell r="A4571" t="str">
            <v/>
          </cell>
          <cell r="AS4571" t="str">
            <v>-</v>
          </cell>
        </row>
        <row r="4572">
          <cell r="A4572" t="str">
            <v/>
          </cell>
          <cell r="AS4572" t="str">
            <v>-</v>
          </cell>
        </row>
        <row r="4573">
          <cell r="A4573" t="str">
            <v/>
          </cell>
          <cell r="AS4573" t="str">
            <v>-</v>
          </cell>
        </row>
        <row r="4574">
          <cell r="A4574" t="str">
            <v/>
          </cell>
          <cell r="AS4574" t="str">
            <v>-</v>
          </cell>
        </row>
        <row r="4575">
          <cell r="A4575" t="str">
            <v/>
          </cell>
          <cell r="AS4575" t="str">
            <v>-</v>
          </cell>
        </row>
        <row r="4576">
          <cell r="A4576" t="str">
            <v/>
          </cell>
          <cell r="AS4576" t="str">
            <v>-</v>
          </cell>
        </row>
        <row r="4577">
          <cell r="A4577" t="str">
            <v/>
          </cell>
          <cell r="AS4577" t="str">
            <v>-</v>
          </cell>
        </row>
        <row r="4578">
          <cell r="A4578" t="str">
            <v/>
          </cell>
          <cell r="AS4578" t="str">
            <v>-</v>
          </cell>
        </row>
        <row r="4579">
          <cell r="A4579" t="str">
            <v/>
          </cell>
          <cell r="AS4579" t="str">
            <v>-</v>
          </cell>
        </row>
        <row r="4580">
          <cell r="A4580" t="str">
            <v/>
          </cell>
          <cell r="AS4580" t="str">
            <v>-</v>
          </cell>
        </row>
        <row r="4581">
          <cell r="A4581" t="str">
            <v/>
          </cell>
          <cell r="AS4581" t="str">
            <v>-</v>
          </cell>
        </row>
        <row r="4582">
          <cell r="A4582" t="str">
            <v/>
          </cell>
          <cell r="AS4582" t="str">
            <v>-</v>
          </cell>
        </row>
        <row r="4583">
          <cell r="A4583" t="str">
            <v/>
          </cell>
          <cell r="AS4583" t="str">
            <v>-</v>
          </cell>
        </row>
        <row r="4584">
          <cell r="A4584" t="str">
            <v/>
          </cell>
          <cell r="AS4584" t="str">
            <v>-</v>
          </cell>
        </row>
        <row r="4585">
          <cell r="A4585" t="str">
            <v/>
          </cell>
          <cell r="AS4585" t="str">
            <v>-</v>
          </cell>
        </row>
        <row r="4586">
          <cell r="A4586" t="str">
            <v/>
          </cell>
          <cell r="AS4586" t="str">
            <v>-</v>
          </cell>
        </row>
        <row r="4587">
          <cell r="A4587" t="str">
            <v/>
          </cell>
          <cell r="AS4587" t="str">
            <v>-</v>
          </cell>
        </row>
        <row r="4588">
          <cell r="A4588" t="str">
            <v/>
          </cell>
          <cell r="AS4588" t="str">
            <v>-</v>
          </cell>
        </row>
        <row r="4589">
          <cell r="A4589" t="str">
            <v/>
          </cell>
          <cell r="AS4589" t="str">
            <v>-</v>
          </cell>
        </row>
        <row r="4590">
          <cell r="A4590" t="str">
            <v/>
          </cell>
          <cell r="AS4590" t="str">
            <v>-</v>
          </cell>
        </row>
        <row r="4591">
          <cell r="A4591" t="str">
            <v/>
          </cell>
          <cell r="AS4591" t="str">
            <v>-</v>
          </cell>
        </row>
        <row r="4592">
          <cell r="A4592" t="str">
            <v/>
          </cell>
          <cell r="AS4592" t="str">
            <v>-</v>
          </cell>
        </row>
        <row r="4593">
          <cell r="A4593" t="str">
            <v/>
          </cell>
          <cell r="AS4593" t="str">
            <v>-</v>
          </cell>
        </row>
        <row r="4594">
          <cell r="A4594" t="str">
            <v/>
          </cell>
          <cell r="AS4594" t="str">
            <v>-</v>
          </cell>
        </row>
        <row r="4595">
          <cell r="A4595" t="str">
            <v/>
          </cell>
          <cell r="AS4595" t="str">
            <v>-</v>
          </cell>
        </row>
        <row r="4596">
          <cell r="A4596" t="str">
            <v/>
          </cell>
          <cell r="AS4596" t="str">
            <v>-</v>
          </cell>
        </row>
        <row r="4597">
          <cell r="A4597" t="str">
            <v/>
          </cell>
          <cell r="AS4597" t="str">
            <v>-</v>
          </cell>
        </row>
        <row r="4598">
          <cell r="A4598" t="str">
            <v/>
          </cell>
          <cell r="AS4598" t="str">
            <v>-</v>
          </cell>
        </row>
        <row r="4599">
          <cell r="A4599" t="str">
            <v/>
          </cell>
          <cell r="AS4599" t="str">
            <v>-</v>
          </cell>
        </row>
        <row r="4600">
          <cell r="A4600" t="str">
            <v/>
          </cell>
          <cell r="AS4600" t="str">
            <v>-</v>
          </cell>
        </row>
        <row r="4601">
          <cell r="A4601" t="str">
            <v/>
          </cell>
          <cell r="AS4601" t="str">
            <v>-</v>
          </cell>
        </row>
        <row r="4602">
          <cell r="A4602" t="str">
            <v/>
          </cell>
          <cell r="AS4602" t="str">
            <v>-</v>
          </cell>
        </row>
        <row r="4603">
          <cell r="A4603" t="str">
            <v/>
          </cell>
          <cell r="AS4603" t="str">
            <v>-</v>
          </cell>
        </row>
        <row r="4604">
          <cell r="A4604" t="str">
            <v/>
          </cell>
          <cell r="AS4604" t="str">
            <v>-</v>
          </cell>
        </row>
        <row r="4605">
          <cell r="A4605" t="str">
            <v/>
          </cell>
          <cell r="AS4605" t="str">
            <v>-</v>
          </cell>
        </row>
        <row r="4606">
          <cell r="A4606" t="str">
            <v/>
          </cell>
          <cell r="AS4606" t="str">
            <v>-</v>
          </cell>
        </row>
        <row r="4607">
          <cell r="A4607" t="str">
            <v/>
          </cell>
          <cell r="AS4607" t="str">
            <v>-</v>
          </cell>
        </row>
        <row r="4608">
          <cell r="A4608" t="str">
            <v/>
          </cell>
          <cell r="AS4608" t="str">
            <v>-</v>
          </cell>
        </row>
        <row r="4609">
          <cell r="A4609" t="str">
            <v/>
          </cell>
          <cell r="AS4609" t="str">
            <v>-</v>
          </cell>
        </row>
        <row r="4610">
          <cell r="A4610" t="str">
            <v/>
          </cell>
          <cell r="AS4610" t="str">
            <v>-</v>
          </cell>
        </row>
        <row r="4611">
          <cell r="A4611" t="str">
            <v/>
          </cell>
          <cell r="AS4611" t="str">
            <v>-</v>
          </cell>
        </row>
        <row r="4612">
          <cell r="A4612" t="str">
            <v/>
          </cell>
          <cell r="AS4612" t="str">
            <v>-</v>
          </cell>
        </row>
        <row r="4613">
          <cell r="A4613" t="str">
            <v/>
          </cell>
          <cell r="AS4613" t="str">
            <v>-</v>
          </cell>
        </row>
        <row r="4614">
          <cell r="A4614" t="str">
            <v/>
          </cell>
          <cell r="AS4614" t="str">
            <v>-</v>
          </cell>
        </row>
        <row r="4615">
          <cell r="A4615" t="str">
            <v/>
          </cell>
          <cell r="AS4615" t="str">
            <v>-</v>
          </cell>
        </row>
        <row r="4616">
          <cell r="A4616" t="str">
            <v/>
          </cell>
          <cell r="AS4616" t="str">
            <v>-</v>
          </cell>
        </row>
        <row r="4617">
          <cell r="A4617" t="str">
            <v/>
          </cell>
          <cell r="AS4617" t="str">
            <v>-</v>
          </cell>
        </row>
        <row r="4618">
          <cell r="A4618" t="str">
            <v/>
          </cell>
          <cell r="AS4618" t="str">
            <v>-</v>
          </cell>
        </row>
        <row r="4619">
          <cell r="A4619" t="str">
            <v/>
          </cell>
          <cell r="AS4619" t="str">
            <v>-</v>
          </cell>
        </row>
        <row r="4620">
          <cell r="A4620" t="str">
            <v/>
          </cell>
          <cell r="AS4620" t="str">
            <v>-</v>
          </cell>
        </row>
        <row r="4621">
          <cell r="A4621" t="str">
            <v/>
          </cell>
          <cell r="AS4621" t="str">
            <v>-</v>
          </cell>
        </row>
        <row r="4622">
          <cell r="A4622" t="str">
            <v/>
          </cell>
          <cell r="AS4622" t="str">
            <v>-</v>
          </cell>
        </row>
        <row r="4623">
          <cell r="A4623" t="str">
            <v/>
          </cell>
          <cell r="AS4623" t="str">
            <v>-</v>
          </cell>
        </row>
        <row r="4624">
          <cell r="A4624" t="str">
            <v/>
          </cell>
          <cell r="AS4624" t="str">
            <v>-</v>
          </cell>
        </row>
        <row r="4625">
          <cell r="A4625" t="str">
            <v/>
          </cell>
          <cell r="AS4625" t="str">
            <v>-</v>
          </cell>
        </row>
        <row r="4626">
          <cell r="A4626" t="str">
            <v/>
          </cell>
          <cell r="AS4626" t="str">
            <v>-</v>
          </cell>
        </row>
        <row r="4627">
          <cell r="A4627" t="str">
            <v/>
          </cell>
          <cell r="AS4627" t="str">
            <v>-</v>
          </cell>
        </row>
        <row r="4628">
          <cell r="A4628" t="str">
            <v/>
          </cell>
          <cell r="AS4628" t="str">
            <v>-</v>
          </cell>
        </row>
        <row r="4629">
          <cell r="A4629" t="str">
            <v/>
          </cell>
          <cell r="AS4629" t="str">
            <v>-</v>
          </cell>
        </row>
        <row r="4630">
          <cell r="A4630" t="str">
            <v/>
          </cell>
          <cell r="AS4630" t="str">
            <v>-</v>
          </cell>
        </row>
        <row r="4631">
          <cell r="A4631" t="str">
            <v/>
          </cell>
          <cell r="AS4631" t="str">
            <v>-</v>
          </cell>
        </row>
        <row r="4632">
          <cell r="A4632" t="str">
            <v/>
          </cell>
          <cell r="AS4632" t="str">
            <v>-</v>
          </cell>
        </row>
        <row r="4633">
          <cell r="A4633" t="str">
            <v/>
          </cell>
          <cell r="AS4633" t="str">
            <v>-</v>
          </cell>
        </row>
        <row r="4634">
          <cell r="A4634" t="str">
            <v/>
          </cell>
          <cell r="AS4634" t="str">
            <v>-</v>
          </cell>
        </row>
        <row r="4635">
          <cell r="A4635" t="str">
            <v/>
          </cell>
          <cell r="AS4635" t="str">
            <v>-</v>
          </cell>
        </row>
        <row r="4636">
          <cell r="A4636" t="str">
            <v/>
          </cell>
          <cell r="AS4636" t="str">
            <v>-</v>
          </cell>
        </row>
        <row r="4637">
          <cell r="A4637" t="str">
            <v/>
          </cell>
          <cell r="AS4637" t="str">
            <v>-</v>
          </cell>
        </row>
        <row r="4638">
          <cell r="A4638" t="str">
            <v/>
          </cell>
          <cell r="AS4638" t="str">
            <v>-</v>
          </cell>
        </row>
        <row r="4639">
          <cell r="A4639" t="str">
            <v/>
          </cell>
          <cell r="AS4639" t="str">
            <v>-</v>
          </cell>
        </row>
        <row r="4640">
          <cell r="A4640" t="str">
            <v/>
          </cell>
          <cell r="AS4640" t="str">
            <v>-</v>
          </cell>
        </row>
        <row r="4641">
          <cell r="A4641" t="str">
            <v/>
          </cell>
          <cell r="AS4641" t="str">
            <v>-</v>
          </cell>
        </row>
        <row r="4642">
          <cell r="A4642" t="str">
            <v/>
          </cell>
          <cell r="AS4642" t="str">
            <v>-</v>
          </cell>
        </row>
        <row r="4643">
          <cell r="A4643" t="str">
            <v/>
          </cell>
          <cell r="AS4643" t="str">
            <v>-</v>
          </cell>
        </row>
        <row r="4644">
          <cell r="A4644" t="str">
            <v/>
          </cell>
          <cell r="AS4644" t="str">
            <v>-</v>
          </cell>
        </row>
        <row r="4645">
          <cell r="A4645" t="str">
            <v/>
          </cell>
          <cell r="AS4645" t="str">
            <v>-</v>
          </cell>
        </row>
        <row r="4646">
          <cell r="A4646" t="str">
            <v/>
          </cell>
          <cell r="AS4646" t="str">
            <v>-</v>
          </cell>
        </row>
        <row r="4647">
          <cell r="A4647" t="str">
            <v/>
          </cell>
          <cell r="AS4647" t="str">
            <v>-</v>
          </cell>
        </row>
        <row r="4648">
          <cell r="A4648" t="str">
            <v/>
          </cell>
          <cell r="AS4648" t="str">
            <v>-</v>
          </cell>
        </row>
        <row r="4649">
          <cell r="A4649" t="str">
            <v/>
          </cell>
          <cell r="AS4649" t="str">
            <v>-</v>
          </cell>
        </row>
        <row r="4650">
          <cell r="A4650" t="str">
            <v/>
          </cell>
          <cell r="AS4650" t="str">
            <v>-</v>
          </cell>
        </row>
        <row r="4651">
          <cell r="A4651" t="str">
            <v/>
          </cell>
          <cell r="AS4651" t="str">
            <v>-</v>
          </cell>
        </row>
        <row r="4652">
          <cell r="A4652" t="str">
            <v/>
          </cell>
          <cell r="AS4652" t="str">
            <v>-</v>
          </cell>
        </row>
        <row r="4653">
          <cell r="A4653" t="str">
            <v/>
          </cell>
          <cell r="AS4653" t="str">
            <v>-</v>
          </cell>
        </row>
        <row r="4654">
          <cell r="A4654" t="str">
            <v/>
          </cell>
          <cell r="AS4654" t="str">
            <v>-</v>
          </cell>
        </row>
        <row r="4655">
          <cell r="A4655" t="str">
            <v/>
          </cell>
          <cell r="AS4655" t="str">
            <v>-</v>
          </cell>
        </row>
        <row r="4656">
          <cell r="A4656" t="str">
            <v/>
          </cell>
          <cell r="AS4656" t="str">
            <v>-</v>
          </cell>
        </row>
        <row r="4657">
          <cell r="A4657" t="str">
            <v/>
          </cell>
          <cell r="AS4657" t="str">
            <v>-</v>
          </cell>
        </row>
        <row r="4658">
          <cell r="A4658" t="str">
            <v/>
          </cell>
          <cell r="AS4658" t="str">
            <v>-</v>
          </cell>
        </row>
        <row r="4659">
          <cell r="A4659" t="str">
            <v/>
          </cell>
          <cell r="AS4659" t="str">
            <v>-</v>
          </cell>
        </row>
        <row r="4660">
          <cell r="A4660" t="str">
            <v/>
          </cell>
          <cell r="AS4660" t="str">
            <v>-</v>
          </cell>
        </row>
        <row r="4661">
          <cell r="A4661" t="str">
            <v/>
          </cell>
          <cell r="AS4661" t="str">
            <v>-</v>
          </cell>
        </row>
        <row r="4662">
          <cell r="A4662" t="str">
            <v/>
          </cell>
          <cell r="AS4662" t="str">
            <v>-</v>
          </cell>
        </row>
        <row r="4663">
          <cell r="A4663" t="str">
            <v/>
          </cell>
          <cell r="AS4663" t="str">
            <v>-</v>
          </cell>
        </row>
        <row r="4664">
          <cell r="A4664" t="str">
            <v/>
          </cell>
          <cell r="AS4664" t="str">
            <v>-</v>
          </cell>
        </row>
        <row r="4665">
          <cell r="A4665" t="str">
            <v/>
          </cell>
          <cell r="AS4665" t="str">
            <v>-</v>
          </cell>
        </row>
        <row r="4666">
          <cell r="A4666" t="str">
            <v/>
          </cell>
          <cell r="AS4666" t="str">
            <v>-</v>
          </cell>
        </row>
        <row r="4667">
          <cell r="A4667" t="str">
            <v/>
          </cell>
          <cell r="AS4667" t="str">
            <v>-</v>
          </cell>
        </row>
        <row r="4668">
          <cell r="A4668" t="str">
            <v/>
          </cell>
          <cell r="AS4668" t="str">
            <v>-</v>
          </cell>
        </row>
        <row r="4669">
          <cell r="A4669" t="str">
            <v/>
          </cell>
          <cell r="AS4669" t="str">
            <v>-</v>
          </cell>
        </row>
        <row r="4670">
          <cell r="A4670" t="str">
            <v/>
          </cell>
          <cell r="AS4670" t="str">
            <v>-</v>
          </cell>
        </row>
        <row r="4671">
          <cell r="A4671" t="str">
            <v/>
          </cell>
          <cell r="AS4671" t="str">
            <v>-</v>
          </cell>
        </row>
        <row r="4672">
          <cell r="A4672" t="str">
            <v/>
          </cell>
          <cell r="AS4672" t="str">
            <v>-</v>
          </cell>
        </row>
        <row r="4673">
          <cell r="A4673" t="str">
            <v/>
          </cell>
          <cell r="AS4673" t="str">
            <v>-</v>
          </cell>
        </row>
        <row r="4674">
          <cell r="A4674" t="str">
            <v/>
          </cell>
          <cell r="AS4674" t="str">
            <v>-</v>
          </cell>
        </row>
        <row r="4675">
          <cell r="A4675" t="str">
            <v/>
          </cell>
          <cell r="AS4675" t="str">
            <v>-</v>
          </cell>
        </row>
        <row r="4676">
          <cell r="A4676" t="str">
            <v/>
          </cell>
          <cell r="AS4676" t="str">
            <v>-</v>
          </cell>
        </row>
        <row r="4677">
          <cell r="A4677" t="str">
            <v/>
          </cell>
          <cell r="AS4677" t="str">
            <v>-</v>
          </cell>
        </row>
        <row r="4678">
          <cell r="A4678" t="str">
            <v/>
          </cell>
          <cell r="AS4678" t="str">
            <v>-</v>
          </cell>
        </row>
        <row r="4679">
          <cell r="A4679" t="str">
            <v/>
          </cell>
          <cell r="AS4679" t="str">
            <v>-</v>
          </cell>
        </row>
        <row r="4680">
          <cell r="A4680" t="str">
            <v/>
          </cell>
          <cell r="AS4680" t="str">
            <v>-</v>
          </cell>
        </row>
        <row r="4681">
          <cell r="A4681" t="str">
            <v/>
          </cell>
          <cell r="AS4681" t="str">
            <v>-</v>
          </cell>
        </row>
        <row r="4682">
          <cell r="A4682" t="str">
            <v/>
          </cell>
          <cell r="AS4682" t="str">
            <v>-</v>
          </cell>
        </row>
        <row r="4683">
          <cell r="A4683" t="str">
            <v/>
          </cell>
          <cell r="AS4683" t="str">
            <v>-</v>
          </cell>
        </row>
        <row r="4684">
          <cell r="A4684" t="str">
            <v/>
          </cell>
          <cell r="AS4684" t="str">
            <v>-</v>
          </cell>
        </row>
        <row r="4685">
          <cell r="A4685" t="str">
            <v/>
          </cell>
          <cell r="AS4685" t="str">
            <v>-</v>
          </cell>
        </row>
        <row r="4686">
          <cell r="A4686" t="str">
            <v/>
          </cell>
          <cell r="AS4686" t="str">
            <v>-</v>
          </cell>
        </row>
        <row r="4687">
          <cell r="A4687" t="str">
            <v/>
          </cell>
          <cell r="AS4687" t="str">
            <v>-</v>
          </cell>
        </row>
        <row r="4688">
          <cell r="A4688" t="str">
            <v/>
          </cell>
          <cell r="AS4688" t="str">
            <v>-</v>
          </cell>
        </row>
        <row r="4689">
          <cell r="A4689" t="str">
            <v/>
          </cell>
          <cell r="AS4689" t="str">
            <v>-</v>
          </cell>
        </row>
        <row r="4690">
          <cell r="A4690" t="str">
            <v/>
          </cell>
          <cell r="AS4690" t="str">
            <v>-</v>
          </cell>
        </row>
        <row r="4691">
          <cell r="A4691" t="str">
            <v/>
          </cell>
          <cell r="AS4691" t="str">
            <v>-</v>
          </cell>
        </row>
        <row r="4692">
          <cell r="A4692" t="str">
            <v/>
          </cell>
          <cell r="AS4692" t="str">
            <v>-</v>
          </cell>
        </row>
        <row r="4693">
          <cell r="A4693" t="str">
            <v/>
          </cell>
          <cell r="AS4693" t="str">
            <v>-</v>
          </cell>
        </row>
        <row r="4694">
          <cell r="A4694" t="str">
            <v/>
          </cell>
          <cell r="AS4694" t="str">
            <v>-</v>
          </cell>
        </row>
        <row r="4695">
          <cell r="A4695" t="str">
            <v/>
          </cell>
          <cell r="AS4695" t="str">
            <v>-</v>
          </cell>
        </row>
        <row r="4696">
          <cell r="A4696" t="str">
            <v/>
          </cell>
          <cell r="AS4696" t="str">
            <v>-</v>
          </cell>
        </row>
        <row r="4697">
          <cell r="A4697" t="str">
            <v/>
          </cell>
          <cell r="AS4697" t="str">
            <v>-</v>
          </cell>
        </row>
        <row r="4698">
          <cell r="A4698" t="str">
            <v/>
          </cell>
          <cell r="AS4698" t="str">
            <v>-</v>
          </cell>
        </row>
        <row r="4699">
          <cell r="A4699" t="str">
            <v/>
          </cell>
          <cell r="AS4699" t="str">
            <v>-</v>
          </cell>
        </row>
        <row r="4700">
          <cell r="A4700" t="str">
            <v/>
          </cell>
          <cell r="AS4700" t="str">
            <v>-</v>
          </cell>
        </row>
        <row r="4701">
          <cell r="A4701" t="str">
            <v/>
          </cell>
          <cell r="AS4701" t="str">
            <v>-</v>
          </cell>
        </row>
        <row r="4702">
          <cell r="A4702" t="str">
            <v/>
          </cell>
          <cell r="AS4702" t="str">
            <v>-</v>
          </cell>
        </row>
        <row r="4703">
          <cell r="A4703" t="str">
            <v/>
          </cell>
          <cell r="AS4703" t="str">
            <v>-</v>
          </cell>
        </row>
        <row r="4704">
          <cell r="A4704" t="str">
            <v/>
          </cell>
          <cell r="AS4704" t="str">
            <v>-</v>
          </cell>
        </row>
        <row r="4705">
          <cell r="A4705" t="str">
            <v/>
          </cell>
          <cell r="AS4705" t="str">
            <v>-</v>
          </cell>
        </row>
        <row r="4706">
          <cell r="A4706" t="str">
            <v/>
          </cell>
          <cell r="AS4706" t="str">
            <v>-</v>
          </cell>
        </row>
        <row r="4707">
          <cell r="A4707" t="str">
            <v/>
          </cell>
          <cell r="AS4707" t="str">
            <v>-</v>
          </cell>
        </row>
        <row r="4708">
          <cell r="A4708" t="str">
            <v/>
          </cell>
          <cell r="AS4708" t="str">
            <v>-</v>
          </cell>
        </row>
        <row r="4709">
          <cell r="A4709" t="str">
            <v/>
          </cell>
          <cell r="AS4709" t="str">
            <v>-</v>
          </cell>
        </row>
        <row r="4710">
          <cell r="A4710" t="str">
            <v/>
          </cell>
          <cell r="AS4710" t="str">
            <v>-</v>
          </cell>
        </row>
        <row r="4711">
          <cell r="A4711" t="str">
            <v/>
          </cell>
          <cell r="AS4711" t="str">
            <v>-</v>
          </cell>
        </row>
        <row r="4712">
          <cell r="A4712" t="str">
            <v/>
          </cell>
          <cell r="AS4712" t="str">
            <v>-</v>
          </cell>
        </row>
        <row r="4713">
          <cell r="A4713" t="str">
            <v/>
          </cell>
          <cell r="AS4713" t="str">
            <v>-</v>
          </cell>
        </row>
        <row r="4714">
          <cell r="A4714" t="str">
            <v/>
          </cell>
          <cell r="AS4714" t="str">
            <v>-</v>
          </cell>
        </row>
        <row r="4715">
          <cell r="A4715" t="str">
            <v/>
          </cell>
          <cell r="AS4715" t="str">
            <v>-</v>
          </cell>
        </row>
        <row r="4716">
          <cell r="A4716" t="str">
            <v/>
          </cell>
          <cell r="AS4716" t="str">
            <v>-</v>
          </cell>
        </row>
        <row r="4717">
          <cell r="A4717" t="str">
            <v/>
          </cell>
          <cell r="AS4717" t="str">
            <v>-</v>
          </cell>
        </row>
        <row r="4718">
          <cell r="A4718" t="str">
            <v/>
          </cell>
          <cell r="AS4718" t="str">
            <v>-</v>
          </cell>
        </row>
        <row r="4719">
          <cell r="A4719" t="str">
            <v/>
          </cell>
          <cell r="AS4719" t="str">
            <v>-</v>
          </cell>
        </row>
        <row r="4720">
          <cell r="A4720" t="str">
            <v/>
          </cell>
          <cell r="AS4720" t="str">
            <v>-</v>
          </cell>
        </row>
        <row r="4721">
          <cell r="A4721" t="str">
            <v/>
          </cell>
          <cell r="AS4721" t="str">
            <v>-</v>
          </cell>
        </row>
        <row r="4722">
          <cell r="A4722" t="str">
            <v/>
          </cell>
          <cell r="AS4722" t="str">
            <v>-</v>
          </cell>
        </row>
        <row r="4723">
          <cell r="A4723" t="str">
            <v/>
          </cell>
          <cell r="AS4723" t="str">
            <v>-</v>
          </cell>
        </row>
        <row r="4724">
          <cell r="A4724" t="str">
            <v/>
          </cell>
          <cell r="AS4724" t="str">
            <v>-</v>
          </cell>
        </row>
        <row r="4725">
          <cell r="A4725" t="str">
            <v/>
          </cell>
          <cell r="AS4725" t="str">
            <v>-</v>
          </cell>
        </row>
        <row r="4726">
          <cell r="A4726" t="str">
            <v/>
          </cell>
          <cell r="AS4726" t="str">
            <v>-</v>
          </cell>
        </row>
        <row r="4727">
          <cell r="A4727" t="str">
            <v/>
          </cell>
          <cell r="AS4727" t="str">
            <v>-</v>
          </cell>
        </row>
        <row r="4728">
          <cell r="A4728" t="str">
            <v/>
          </cell>
          <cell r="AS4728" t="str">
            <v>-</v>
          </cell>
        </row>
        <row r="4729">
          <cell r="A4729" t="str">
            <v/>
          </cell>
          <cell r="AS4729" t="str">
            <v>-</v>
          </cell>
        </row>
        <row r="4730">
          <cell r="A4730" t="str">
            <v/>
          </cell>
          <cell r="AS4730" t="str">
            <v>-</v>
          </cell>
        </row>
        <row r="4731">
          <cell r="A4731" t="str">
            <v/>
          </cell>
          <cell r="AS4731" t="str">
            <v>-</v>
          </cell>
        </row>
        <row r="4732">
          <cell r="A4732" t="str">
            <v/>
          </cell>
          <cell r="AS4732" t="str">
            <v>-</v>
          </cell>
        </row>
        <row r="4733">
          <cell r="A4733" t="str">
            <v/>
          </cell>
          <cell r="AS4733" t="str">
            <v>-</v>
          </cell>
        </row>
        <row r="4734">
          <cell r="A4734" t="str">
            <v/>
          </cell>
          <cell r="AS4734" t="str">
            <v>-</v>
          </cell>
        </row>
        <row r="4735">
          <cell r="A4735" t="str">
            <v/>
          </cell>
          <cell r="AS4735" t="str">
            <v>-</v>
          </cell>
        </row>
        <row r="4736">
          <cell r="A4736" t="str">
            <v/>
          </cell>
          <cell r="AS4736" t="str">
            <v>-</v>
          </cell>
        </row>
        <row r="4737">
          <cell r="A4737" t="str">
            <v/>
          </cell>
          <cell r="AS4737" t="str">
            <v>-</v>
          </cell>
        </row>
        <row r="4738">
          <cell r="A4738" t="str">
            <v/>
          </cell>
          <cell r="AS4738" t="str">
            <v>-</v>
          </cell>
        </row>
        <row r="4739">
          <cell r="A4739" t="str">
            <v/>
          </cell>
          <cell r="AS4739" t="str">
            <v>-</v>
          </cell>
        </row>
        <row r="4740">
          <cell r="A4740" t="str">
            <v/>
          </cell>
          <cell r="AS4740" t="str">
            <v>-</v>
          </cell>
        </row>
        <row r="4741">
          <cell r="A4741" t="str">
            <v/>
          </cell>
          <cell r="AS4741" t="str">
            <v>-</v>
          </cell>
        </row>
        <row r="4742">
          <cell r="A4742" t="str">
            <v/>
          </cell>
          <cell r="AS4742" t="str">
            <v>-</v>
          </cell>
        </row>
        <row r="4743">
          <cell r="A4743" t="str">
            <v/>
          </cell>
          <cell r="AS4743" t="str">
            <v>-</v>
          </cell>
        </row>
        <row r="4744">
          <cell r="A4744" t="str">
            <v/>
          </cell>
          <cell r="AS4744" t="str">
            <v>-</v>
          </cell>
        </row>
        <row r="4745">
          <cell r="A4745" t="str">
            <v/>
          </cell>
          <cell r="AS4745" t="str">
            <v>-</v>
          </cell>
        </row>
        <row r="4746">
          <cell r="A4746" t="str">
            <v/>
          </cell>
          <cell r="AS4746" t="str">
            <v>-</v>
          </cell>
        </row>
        <row r="4747">
          <cell r="A4747" t="str">
            <v/>
          </cell>
          <cell r="AS4747" t="str">
            <v>-</v>
          </cell>
        </row>
        <row r="4748">
          <cell r="A4748" t="str">
            <v/>
          </cell>
          <cell r="AS4748" t="str">
            <v>-</v>
          </cell>
        </row>
        <row r="4749">
          <cell r="A4749" t="str">
            <v/>
          </cell>
          <cell r="AS4749" t="str">
            <v>-</v>
          </cell>
        </row>
        <row r="4750">
          <cell r="A4750" t="str">
            <v/>
          </cell>
          <cell r="AS4750" t="str">
            <v>-</v>
          </cell>
        </row>
        <row r="4751">
          <cell r="A4751" t="str">
            <v/>
          </cell>
          <cell r="AS4751" t="str">
            <v>-</v>
          </cell>
        </row>
        <row r="4752">
          <cell r="A4752" t="str">
            <v/>
          </cell>
          <cell r="AS4752" t="str">
            <v>-</v>
          </cell>
        </row>
        <row r="4753">
          <cell r="A4753" t="str">
            <v/>
          </cell>
          <cell r="AS4753" t="str">
            <v>-</v>
          </cell>
        </row>
        <row r="4754">
          <cell r="A4754" t="str">
            <v/>
          </cell>
          <cell r="AS4754" t="str">
            <v>-</v>
          </cell>
        </row>
        <row r="4755">
          <cell r="A4755" t="str">
            <v/>
          </cell>
          <cell r="AS4755" t="str">
            <v>-</v>
          </cell>
        </row>
        <row r="4756">
          <cell r="A4756" t="str">
            <v/>
          </cell>
          <cell r="AS4756" t="str">
            <v>-</v>
          </cell>
        </row>
        <row r="4757">
          <cell r="A4757" t="str">
            <v/>
          </cell>
          <cell r="AS4757" t="str">
            <v>-</v>
          </cell>
        </row>
        <row r="4758">
          <cell r="A4758" t="str">
            <v/>
          </cell>
          <cell r="AS4758" t="str">
            <v>-</v>
          </cell>
        </row>
        <row r="4759">
          <cell r="A4759" t="str">
            <v/>
          </cell>
          <cell r="AS4759" t="str">
            <v>-</v>
          </cell>
        </row>
        <row r="4760">
          <cell r="A4760" t="str">
            <v/>
          </cell>
          <cell r="AS4760" t="str">
            <v>-</v>
          </cell>
        </row>
        <row r="4761">
          <cell r="A4761" t="str">
            <v/>
          </cell>
          <cell r="AS4761" t="str">
            <v>-</v>
          </cell>
        </row>
        <row r="4762">
          <cell r="A4762" t="str">
            <v/>
          </cell>
          <cell r="AS4762" t="str">
            <v>-</v>
          </cell>
        </row>
        <row r="4763">
          <cell r="A4763" t="str">
            <v/>
          </cell>
          <cell r="AS4763" t="str">
            <v>-</v>
          </cell>
        </row>
        <row r="4764">
          <cell r="A4764" t="str">
            <v/>
          </cell>
          <cell r="AS4764" t="str">
            <v>-</v>
          </cell>
        </row>
        <row r="4765">
          <cell r="A4765" t="str">
            <v/>
          </cell>
          <cell r="AS4765" t="str">
            <v>-</v>
          </cell>
        </row>
        <row r="4766">
          <cell r="A4766" t="str">
            <v/>
          </cell>
          <cell r="AS4766" t="str">
            <v>-</v>
          </cell>
        </row>
        <row r="4767">
          <cell r="A4767" t="str">
            <v/>
          </cell>
          <cell r="AS4767" t="str">
            <v>-</v>
          </cell>
        </row>
        <row r="4768">
          <cell r="A4768" t="str">
            <v/>
          </cell>
          <cell r="AS4768" t="str">
            <v>-</v>
          </cell>
        </row>
        <row r="4769">
          <cell r="A4769" t="str">
            <v/>
          </cell>
          <cell r="AS4769" t="str">
            <v>-</v>
          </cell>
        </row>
        <row r="4770">
          <cell r="A4770" t="str">
            <v/>
          </cell>
          <cell r="AS4770" t="str">
            <v>-</v>
          </cell>
        </row>
        <row r="4771">
          <cell r="A4771" t="str">
            <v/>
          </cell>
          <cell r="AS4771" t="str">
            <v>-</v>
          </cell>
        </row>
        <row r="4772">
          <cell r="A4772" t="str">
            <v/>
          </cell>
          <cell r="AS4772" t="str">
            <v>-</v>
          </cell>
        </row>
        <row r="4773">
          <cell r="A4773" t="str">
            <v/>
          </cell>
          <cell r="AS4773" t="str">
            <v>-</v>
          </cell>
        </row>
        <row r="4774">
          <cell r="A4774" t="str">
            <v/>
          </cell>
          <cell r="AS4774" t="str">
            <v>-</v>
          </cell>
        </row>
        <row r="4775">
          <cell r="A4775" t="str">
            <v/>
          </cell>
          <cell r="AS4775" t="str">
            <v>-</v>
          </cell>
        </row>
        <row r="4776">
          <cell r="A4776" t="str">
            <v/>
          </cell>
          <cell r="AS4776" t="str">
            <v>-</v>
          </cell>
        </row>
        <row r="4777">
          <cell r="A4777" t="str">
            <v/>
          </cell>
          <cell r="AS4777" t="str">
            <v>-</v>
          </cell>
        </row>
        <row r="4778">
          <cell r="A4778" t="str">
            <v/>
          </cell>
          <cell r="AS4778" t="str">
            <v>-</v>
          </cell>
        </row>
        <row r="4779">
          <cell r="A4779" t="str">
            <v/>
          </cell>
          <cell r="AS4779" t="str">
            <v>-</v>
          </cell>
        </row>
        <row r="4780">
          <cell r="A4780" t="str">
            <v/>
          </cell>
          <cell r="AS4780" t="str">
            <v>-</v>
          </cell>
        </row>
        <row r="4781">
          <cell r="A4781" t="str">
            <v/>
          </cell>
          <cell r="AS4781" t="str">
            <v>-</v>
          </cell>
        </row>
        <row r="4782">
          <cell r="A4782" t="str">
            <v/>
          </cell>
          <cell r="AS4782" t="str">
            <v>-</v>
          </cell>
        </row>
        <row r="4783">
          <cell r="A4783" t="str">
            <v/>
          </cell>
          <cell r="AS4783" t="str">
            <v>-</v>
          </cell>
        </row>
        <row r="4784">
          <cell r="A4784" t="str">
            <v/>
          </cell>
          <cell r="AS4784" t="str">
            <v>-</v>
          </cell>
        </row>
        <row r="4785">
          <cell r="A4785" t="str">
            <v/>
          </cell>
          <cell r="AS4785" t="str">
            <v>-</v>
          </cell>
        </row>
        <row r="4786">
          <cell r="A4786" t="str">
            <v/>
          </cell>
          <cell r="AS4786" t="str">
            <v>-</v>
          </cell>
        </row>
        <row r="4787">
          <cell r="A4787" t="str">
            <v/>
          </cell>
          <cell r="AS4787" t="str">
            <v>-</v>
          </cell>
        </row>
        <row r="4788">
          <cell r="A4788" t="str">
            <v/>
          </cell>
          <cell r="AS4788" t="str">
            <v>-</v>
          </cell>
        </row>
        <row r="4789">
          <cell r="A4789" t="str">
            <v/>
          </cell>
          <cell r="AS4789" t="str">
            <v>-</v>
          </cell>
        </row>
        <row r="4790">
          <cell r="A4790" t="str">
            <v/>
          </cell>
          <cell r="AS4790" t="str">
            <v>-</v>
          </cell>
        </row>
        <row r="4791">
          <cell r="A4791" t="str">
            <v/>
          </cell>
          <cell r="AS4791" t="str">
            <v>-</v>
          </cell>
        </row>
        <row r="4792">
          <cell r="A4792" t="str">
            <v/>
          </cell>
          <cell r="AS4792" t="str">
            <v>-</v>
          </cell>
        </row>
        <row r="4793">
          <cell r="A4793" t="str">
            <v/>
          </cell>
          <cell r="AS4793" t="str">
            <v>-</v>
          </cell>
        </row>
        <row r="4794">
          <cell r="A4794" t="str">
            <v/>
          </cell>
          <cell r="AS4794" t="str">
            <v>-</v>
          </cell>
        </row>
        <row r="4795">
          <cell r="A4795" t="str">
            <v/>
          </cell>
          <cell r="AS4795" t="str">
            <v>-</v>
          </cell>
        </row>
        <row r="4796">
          <cell r="A4796" t="str">
            <v/>
          </cell>
          <cell r="AS4796" t="str">
            <v>-</v>
          </cell>
        </row>
        <row r="4797">
          <cell r="AS4797" t="str">
            <v>-</v>
          </cell>
        </row>
        <row r="4798">
          <cell r="AS4798" t="str">
            <v>-</v>
          </cell>
        </row>
        <row r="4799">
          <cell r="AS4799" t="str">
            <v>-</v>
          </cell>
        </row>
        <row r="4800">
          <cell r="AS4800" t="str">
            <v>-</v>
          </cell>
        </row>
        <row r="4801">
          <cell r="AS4801" t="str">
            <v>-</v>
          </cell>
        </row>
        <row r="4802">
          <cell r="AS4802" t="str">
            <v>-</v>
          </cell>
        </row>
        <row r="4803">
          <cell r="AS4803" t="str">
            <v>-</v>
          </cell>
        </row>
        <row r="4804">
          <cell r="AS4804" t="str">
            <v>-</v>
          </cell>
        </row>
        <row r="4805">
          <cell r="AS4805" t="str">
            <v>-</v>
          </cell>
        </row>
        <row r="4806">
          <cell r="AS4806" t="str">
            <v>-</v>
          </cell>
        </row>
        <row r="4807">
          <cell r="AS4807" t="str">
            <v>-</v>
          </cell>
        </row>
        <row r="4808">
          <cell r="AS4808" t="str">
            <v>-</v>
          </cell>
        </row>
        <row r="4809">
          <cell r="AS4809" t="str">
            <v>-</v>
          </cell>
        </row>
        <row r="4810">
          <cell r="AS4810" t="str">
            <v>-</v>
          </cell>
        </row>
        <row r="4811">
          <cell r="AS4811" t="str">
            <v>-</v>
          </cell>
        </row>
        <row r="4812">
          <cell r="AS4812" t="str">
            <v>-</v>
          </cell>
        </row>
        <row r="4813">
          <cell r="AS4813" t="str">
            <v>-</v>
          </cell>
        </row>
        <row r="4814">
          <cell r="AS4814" t="str">
            <v>-</v>
          </cell>
        </row>
        <row r="4815">
          <cell r="AS4815" t="str">
            <v>-</v>
          </cell>
        </row>
        <row r="4816">
          <cell r="AS4816" t="str">
            <v>-</v>
          </cell>
        </row>
        <row r="4817">
          <cell r="AS4817" t="str">
            <v>-</v>
          </cell>
        </row>
        <row r="4818">
          <cell r="AS4818" t="str">
            <v>-</v>
          </cell>
        </row>
        <row r="4819">
          <cell r="AS4819" t="str">
            <v>-</v>
          </cell>
        </row>
        <row r="4820">
          <cell r="AS4820" t="str">
            <v>-</v>
          </cell>
        </row>
        <row r="4821">
          <cell r="AS4821" t="str">
            <v>-</v>
          </cell>
        </row>
        <row r="4822">
          <cell r="AS4822" t="str">
            <v>-</v>
          </cell>
        </row>
        <row r="4823">
          <cell r="AS4823" t="str">
            <v>-</v>
          </cell>
        </row>
        <row r="4824">
          <cell r="AS4824" t="str">
            <v>-</v>
          </cell>
        </row>
        <row r="4825">
          <cell r="AS4825" t="str">
            <v>-</v>
          </cell>
        </row>
        <row r="4826">
          <cell r="AS4826" t="str">
            <v>-</v>
          </cell>
        </row>
        <row r="4827">
          <cell r="AS4827" t="str">
            <v>-</v>
          </cell>
        </row>
        <row r="4828">
          <cell r="AS4828" t="str">
            <v>-</v>
          </cell>
        </row>
        <row r="4829">
          <cell r="AS4829" t="str">
            <v>-</v>
          </cell>
        </row>
        <row r="4830">
          <cell r="AS4830" t="str">
            <v>-</v>
          </cell>
        </row>
        <row r="4831">
          <cell r="AS4831" t="str">
            <v>-</v>
          </cell>
        </row>
        <row r="4832">
          <cell r="AS4832" t="str">
            <v>-</v>
          </cell>
        </row>
        <row r="4833">
          <cell r="AS4833" t="str">
            <v>-</v>
          </cell>
        </row>
        <row r="4834">
          <cell r="AS4834" t="str">
            <v>-</v>
          </cell>
        </row>
        <row r="4835">
          <cell r="AS4835" t="str">
            <v>-</v>
          </cell>
        </row>
        <row r="4836">
          <cell r="AS4836" t="str">
            <v>-</v>
          </cell>
        </row>
        <row r="4837">
          <cell r="AS4837" t="str">
            <v>-</v>
          </cell>
        </row>
        <row r="4838">
          <cell r="AS4838" t="str">
            <v>-</v>
          </cell>
        </row>
        <row r="4839">
          <cell r="AS4839" t="str">
            <v>-</v>
          </cell>
        </row>
        <row r="4840">
          <cell r="AS4840" t="str">
            <v>-</v>
          </cell>
        </row>
        <row r="4841">
          <cell r="AS4841" t="str">
            <v>-</v>
          </cell>
        </row>
        <row r="4842">
          <cell r="AS4842" t="str">
            <v>-</v>
          </cell>
        </row>
        <row r="4843">
          <cell r="AS4843" t="str">
            <v>-</v>
          </cell>
        </row>
        <row r="4844">
          <cell r="AS4844" t="str">
            <v>-</v>
          </cell>
        </row>
        <row r="4845">
          <cell r="AS4845" t="str">
            <v>-</v>
          </cell>
        </row>
        <row r="4846">
          <cell r="AS4846" t="str">
            <v>-</v>
          </cell>
        </row>
        <row r="4847">
          <cell r="AS4847" t="str">
            <v>-</v>
          </cell>
        </row>
        <row r="4848">
          <cell r="AS4848" t="str">
            <v>-</v>
          </cell>
        </row>
        <row r="4849">
          <cell r="AS4849" t="str">
            <v>-</v>
          </cell>
        </row>
        <row r="4850">
          <cell r="AS4850" t="str">
            <v>-</v>
          </cell>
        </row>
        <row r="4851">
          <cell r="AS4851" t="str">
            <v>-</v>
          </cell>
        </row>
        <row r="4852">
          <cell r="AS4852" t="str">
            <v>-</v>
          </cell>
        </row>
        <row r="4853">
          <cell r="AS4853" t="str">
            <v>-</v>
          </cell>
        </row>
        <row r="4854">
          <cell r="AS4854" t="str">
            <v>-</v>
          </cell>
        </row>
        <row r="4855">
          <cell r="AS4855" t="str">
            <v>-</v>
          </cell>
        </row>
        <row r="4856">
          <cell r="AS4856" t="str">
            <v>-</v>
          </cell>
        </row>
        <row r="4857">
          <cell r="AS4857" t="str">
            <v>-</v>
          </cell>
        </row>
        <row r="4858">
          <cell r="AS4858" t="str">
            <v>-</v>
          </cell>
        </row>
        <row r="4859">
          <cell r="AS4859" t="str">
            <v>-</v>
          </cell>
        </row>
        <row r="4860">
          <cell r="AS4860" t="str">
            <v>-</v>
          </cell>
        </row>
        <row r="4861">
          <cell r="AS4861" t="str">
            <v>-</v>
          </cell>
        </row>
        <row r="4862">
          <cell r="AS4862" t="str">
            <v>-</v>
          </cell>
        </row>
        <row r="4863">
          <cell r="AS4863" t="str">
            <v>-</v>
          </cell>
        </row>
        <row r="4864">
          <cell r="AS4864" t="str">
            <v>-</v>
          </cell>
        </row>
        <row r="4865">
          <cell r="AS4865" t="str">
            <v>-</v>
          </cell>
        </row>
        <row r="4866">
          <cell r="AS4866" t="str">
            <v>-</v>
          </cell>
        </row>
        <row r="4867">
          <cell r="AS4867" t="str">
            <v>-</v>
          </cell>
        </row>
        <row r="4868">
          <cell r="AS4868" t="str">
            <v>-</v>
          </cell>
        </row>
        <row r="4869">
          <cell r="AS4869" t="str">
            <v>-</v>
          </cell>
        </row>
        <row r="4870">
          <cell r="AS4870" t="str">
            <v>-</v>
          </cell>
        </row>
        <row r="4871">
          <cell r="AS4871" t="str">
            <v>-</v>
          </cell>
        </row>
        <row r="4872">
          <cell r="AS4872" t="str">
            <v>-</v>
          </cell>
        </row>
        <row r="4873">
          <cell r="AS4873" t="str">
            <v>-</v>
          </cell>
        </row>
        <row r="4874">
          <cell r="AS4874" t="str">
            <v>-</v>
          </cell>
        </row>
        <row r="4875">
          <cell r="AS4875" t="str">
            <v>-</v>
          </cell>
        </row>
        <row r="4876">
          <cell r="AS4876" t="str">
            <v>-</v>
          </cell>
        </row>
        <row r="4877">
          <cell r="AS4877" t="str">
            <v>-</v>
          </cell>
        </row>
        <row r="4878">
          <cell r="AS4878" t="str">
            <v>-</v>
          </cell>
        </row>
        <row r="4879">
          <cell r="AS4879" t="str">
            <v>-</v>
          </cell>
        </row>
        <row r="4880">
          <cell r="AS4880" t="str">
            <v>-</v>
          </cell>
        </row>
        <row r="4881">
          <cell r="AS4881" t="str">
            <v>-</v>
          </cell>
        </row>
        <row r="4882">
          <cell r="AS4882" t="str">
            <v>-</v>
          </cell>
        </row>
        <row r="4883">
          <cell r="AS4883" t="str">
            <v>-</v>
          </cell>
        </row>
        <row r="4884">
          <cell r="AS4884" t="str">
            <v>-</v>
          </cell>
        </row>
        <row r="4885">
          <cell r="AS4885" t="str">
            <v>-</v>
          </cell>
        </row>
        <row r="4886">
          <cell r="AS4886" t="str">
            <v>-</v>
          </cell>
        </row>
        <row r="4887">
          <cell r="AS4887" t="str">
            <v>-</v>
          </cell>
        </row>
        <row r="4888">
          <cell r="AS4888" t="str">
            <v>-</v>
          </cell>
        </row>
        <row r="4889">
          <cell r="AS4889" t="str">
            <v>-</v>
          </cell>
        </row>
        <row r="4890">
          <cell r="AS4890" t="str">
            <v>-</v>
          </cell>
        </row>
        <row r="4891">
          <cell r="AS4891" t="str">
            <v>-</v>
          </cell>
        </row>
        <row r="4892">
          <cell r="AS4892" t="str">
            <v>-</v>
          </cell>
        </row>
        <row r="4893">
          <cell r="AS4893" t="str">
            <v>-</v>
          </cell>
        </row>
        <row r="4894">
          <cell r="AS4894" t="str">
            <v>-</v>
          </cell>
        </row>
        <row r="4895">
          <cell r="AS4895" t="str">
            <v>-</v>
          </cell>
        </row>
        <row r="4896">
          <cell r="AS4896" t="str">
            <v>-</v>
          </cell>
        </row>
        <row r="4897">
          <cell r="AS4897" t="str">
            <v>-</v>
          </cell>
        </row>
        <row r="4898">
          <cell r="AS4898" t="str">
            <v>-</v>
          </cell>
        </row>
        <row r="4899">
          <cell r="AS4899" t="str">
            <v>-</v>
          </cell>
        </row>
        <row r="4900">
          <cell r="AS4900" t="str">
            <v>-</v>
          </cell>
        </row>
        <row r="4901">
          <cell r="AS4901" t="str">
            <v>-</v>
          </cell>
        </row>
        <row r="4902">
          <cell r="AS4902" t="str">
            <v>-</v>
          </cell>
        </row>
        <row r="4903">
          <cell r="AS4903" t="str">
            <v>-</v>
          </cell>
        </row>
        <row r="4904">
          <cell r="AS4904" t="str">
            <v>-</v>
          </cell>
        </row>
        <row r="4905">
          <cell r="AS4905" t="str">
            <v>-</v>
          </cell>
        </row>
        <row r="4906">
          <cell r="AS4906" t="str">
            <v>-</v>
          </cell>
        </row>
        <row r="4907">
          <cell r="AS4907" t="str">
            <v>-</v>
          </cell>
        </row>
        <row r="4908">
          <cell r="AS4908" t="str">
            <v>-</v>
          </cell>
        </row>
        <row r="4909">
          <cell r="AS4909" t="str">
            <v>-</v>
          </cell>
        </row>
        <row r="4910">
          <cell r="AS4910" t="str">
            <v>-</v>
          </cell>
        </row>
        <row r="4911">
          <cell r="AS4911" t="str">
            <v>-</v>
          </cell>
        </row>
        <row r="4912">
          <cell r="AS4912" t="str">
            <v>-</v>
          </cell>
        </row>
        <row r="4913">
          <cell r="AS4913" t="str">
            <v>-</v>
          </cell>
        </row>
        <row r="4914">
          <cell r="AS4914" t="str">
            <v>-</v>
          </cell>
        </row>
        <row r="4915">
          <cell r="AS4915" t="str">
            <v>-</v>
          </cell>
        </row>
        <row r="4916">
          <cell r="AS4916" t="str">
            <v>-</v>
          </cell>
        </row>
        <row r="4917">
          <cell r="AS4917" t="str">
            <v>-</v>
          </cell>
        </row>
        <row r="4918">
          <cell r="AS4918" t="str">
            <v>-</v>
          </cell>
        </row>
        <row r="4919">
          <cell r="AS4919" t="str">
            <v>-</v>
          </cell>
        </row>
        <row r="4920">
          <cell r="AS4920" t="str">
            <v>-</v>
          </cell>
        </row>
        <row r="4921">
          <cell r="AS4921" t="str">
            <v>-</v>
          </cell>
        </row>
        <row r="4922">
          <cell r="AS4922" t="str">
            <v>-</v>
          </cell>
        </row>
        <row r="4923">
          <cell r="AS4923" t="str">
            <v>-</v>
          </cell>
        </row>
        <row r="4924">
          <cell r="AS4924" t="str">
            <v>-</v>
          </cell>
        </row>
        <row r="4925">
          <cell r="AS4925" t="str">
            <v>-</v>
          </cell>
        </row>
        <row r="4926">
          <cell r="AS4926" t="str">
            <v>-</v>
          </cell>
        </row>
        <row r="4927">
          <cell r="AS4927" t="str">
            <v>-</v>
          </cell>
        </row>
        <row r="4928">
          <cell r="AS4928" t="str">
            <v>-</v>
          </cell>
        </row>
        <row r="4929">
          <cell r="AS4929" t="str">
            <v>-</v>
          </cell>
        </row>
        <row r="4930">
          <cell r="AS4930" t="str">
            <v>-</v>
          </cell>
        </row>
        <row r="4931">
          <cell r="AS4931" t="str">
            <v>-</v>
          </cell>
        </row>
        <row r="4932">
          <cell r="AS4932" t="str">
            <v>-</v>
          </cell>
        </row>
        <row r="4933">
          <cell r="AS4933" t="str">
            <v>-</v>
          </cell>
        </row>
        <row r="4934">
          <cell r="AS4934" t="str">
            <v>-</v>
          </cell>
        </row>
        <row r="4935">
          <cell r="AS4935" t="str">
            <v>-</v>
          </cell>
        </row>
        <row r="4936">
          <cell r="AS4936" t="str">
            <v>-</v>
          </cell>
        </row>
        <row r="4937">
          <cell r="AS4937" t="str">
            <v>-</v>
          </cell>
        </row>
        <row r="4938">
          <cell r="AS4938" t="str">
            <v>-</v>
          </cell>
        </row>
        <row r="4939">
          <cell r="AS4939" t="str">
            <v>-</v>
          </cell>
        </row>
        <row r="4940">
          <cell r="AS4940" t="str">
            <v>-</v>
          </cell>
        </row>
        <row r="4941">
          <cell r="AS4941" t="str">
            <v>-</v>
          </cell>
        </row>
        <row r="4942">
          <cell r="AS4942" t="str">
            <v>-</v>
          </cell>
        </row>
        <row r="4943">
          <cell r="AS4943" t="str">
            <v>-</v>
          </cell>
        </row>
        <row r="4944">
          <cell r="AS4944" t="str">
            <v>-</v>
          </cell>
        </row>
        <row r="4945">
          <cell r="AS4945" t="str">
            <v>-</v>
          </cell>
        </row>
        <row r="4946">
          <cell r="AS4946" t="str">
            <v>-</v>
          </cell>
        </row>
        <row r="4947">
          <cell r="AS4947" t="str">
            <v>-</v>
          </cell>
        </row>
        <row r="4948">
          <cell r="AS4948" t="str">
            <v>-</v>
          </cell>
        </row>
        <row r="4949">
          <cell r="AS4949" t="str">
            <v>-</v>
          </cell>
        </row>
        <row r="4950">
          <cell r="AS4950" t="str">
            <v>-</v>
          </cell>
        </row>
        <row r="4951">
          <cell r="AS4951" t="str">
            <v>-</v>
          </cell>
        </row>
        <row r="4952">
          <cell r="AS4952" t="str">
            <v>-</v>
          </cell>
        </row>
        <row r="4953">
          <cell r="AS4953" t="str">
            <v>-</v>
          </cell>
        </row>
        <row r="4954">
          <cell r="AS4954" t="str">
            <v>-</v>
          </cell>
        </row>
        <row r="4955">
          <cell r="AS4955" t="str">
            <v>-</v>
          </cell>
        </row>
        <row r="4956">
          <cell r="AS4956" t="str">
            <v>-</v>
          </cell>
        </row>
        <row r="4957">
          <cell r="AS4957" t="str">
            <v>-</v>
          </cell>
        </row>
        <row r="4958">
          <cell r="AS4958" t="str">
            <v>-</v>
          </cell>
        </row>
        <row r="4959">
          <cell r="AS4959" t="str">
            <v>-</v>
          </cell>
        </row>
        <row r="4960">
          <cell r="AS4960" t="str">
            <v>-</v>
          </cell>
        </row>
        <row r="4961">
          <cell r="AS4961" t="str">
            <v>-</v>
          </cell>
        </row>
        <row r="4962">
          <cell r="AS4962" t="str">
            <v>-</v>
          </cell>
        </row>
        <row r="4963">
          <cell r="AS4963" t="str">
            <v>-</v>
          </cell>
        </row>
        <row r="4964">
          <cell r="AS4964" t="str">
            <v>-</v>
          </cell>
        </row>
        <row r="4965">
          <cell r="AS4965" t="str">
            <v>-</v>
          </cell>
        </row>
        <row r="4966">
          <cell r="AS4966" t="str">
            <v>-</v>
          </cell>
        </row>
        <row r="4967">
          <cell r="AS4967" t="str">
            <v>-</v>
          </cell>
        </row>
        <row r="4968">
          <cell r="AS4968" t="str">
            <v>-</v>
          </cell>
        </row>
        <row r="4969">
          <cell r="AS4969" t="str">
            <v>-</v>
          </cell>
        </row>
        <row r="4970">
          <cell r="AS4970" t="str">
            <v>-</v>
          </cell>
        </row>
        <row r="4971">
          <cell r="AS4971" t="str">
            <v>-</v>
          </cell>
        </row>
        <row r="4972">
          <cell r="AS4972" t="str">
            <v>-</v>
          </cell>
        </row>
        <row r="4973">
          <cell r="AS4973" t="str">
            <v>-</v>
          </cell>
        </row>
        <row r="4974">
          <cell r="AS4974" t="str">
            <v>-</v>
          </cell>
        </row>
        <row r="4975">
          <cell r="AS4975" t="str">
            <v>-</v>
          </cell>
        </row>
        <row r="4976">
          <cell r="AS4976" t="str">
            <v>-</v>
          </cell>
        </row>
        <row r="4977">
          <cell r="AS4977" t="str">
            <v>-</v>
          </cell>
        </row>
        <row r="4978">
          <cell r="AS4978" t="str">
            <v>-</v>
          </cell>
        </row>
        <row r="4979">
          <cell r="AS4979" t="str">
            <v>-</v>
          </cell>
        </row>
        <row r="4980">
          <cell r="AS4980" t="str">
            <v>-</v>
          </cell>
        </row>
        <row r="4981">
          <cell r="AS4981" t="str">
            <v>-</v>
          </cell>
        </row>
        <row r="4982">
          <cell r="AS4982" t="str">
            <v>-</v>
          </cell>
        </row>
        <row r="4983">
          <cell r="AS4983" t="str">
            <v>-</v>
          </cell>
        </row>
        <row r="4984">
          <cell r="AS4984" t="str">
            <v>-</v>
          </cell>
        </row>
        <row r="4985">
          <cell r="AS4985" t="str">
            <v>-</v>
          </cell>
        </row>
        <row r="4986">
          <cell r="AS4986" t="str">
            <v>-</v>
          </cell>
        </row>
        <row r="4987">
          <cell r="AS4987" t="str">
            <v>-</v>
          </cell>
        </row>
        <row r="4988">
          <cell r="AS4988" t="str">
            <v>-</v>
          </cell>
        </row>
        <row r="4989">
          <cell r="AS4989" t="str">
            <v>-</v>
          </cell>
        </row>
        <row r="4990">
          <cell r="AS4990" t="str">
            <v>-</v>
          </cell>
        </row>
        <row r="4991">
          <cell r="AS4991" t="str">
            <v>-</v>
          </cell>
        </row>
        <row r="4992">
          <cell r="AS4992" t="str">
            <v>-</v>
          </cell>
        </row>
        <row r="4993">
          <cell r="AS4993" t="str">
            <v>-</v>
          </cell>
        </row>
        <row r="4994">
          <cell r="AS4994" t="str">
            <v>-</v>
          </cell>
        </row>
        <row r="4995">
          <cell r="AS4995" t="str">
            <v>-</v>
          </cell>
        </row>
        <row r="4996">
          <cell r="AS4996" t="str">
            <v>-</v>
          </cell>
        </row>
        <row r="4997">
          <cell r="AS4997" t="str">
            <v>-</v>
          </cell>
        </row>
        <row r="4998">
          <cell r="AS4998" t="str">
            <v>-</v>
          </cell>
        </row>
        <row r="4999">
          <cell r="AS4999" t="str">
            <v>-</v>
          </cell>
        </row>
        <row r="5000">
          <cell r="AS5000" t="str">
            <v>-</v>
          </cell>
        </row>
      </sheetData>
      <sheetData sheetId="15">
        <row r="8">
          <cell r="A8" t="str">
            <v>S6_120001</v>
          </cell>
          <cell r="I8" t="str">
            <v>001</v>
          </cell>
          <cell r="J8" t="str">
            <v>roof</v>
          </cell>
          <cell r="K8" t="str">
            <v>S6_120</v>
          </cell>
          <cell r="S8">
            <v>12.39</v>
          </cell>
          <cell r="T8">
            <v>12.66</v>
          </cell>
          <cell r="U8">
            <v>0.26999999999999957</v>
          </cell>
          <cell r="V8">
            <v>0.26999999999999957</v>
          </cell>
          <cell r="W8">
            <v>7996.1</v>
          </cell>
          <cell r="X8">
            <v>7985.3</v>
          </cell>
          <cell r="Y8">
            <v>10.800000000000182</v>
          </cell>
          <cell r="Z8">
            <v>0.13506584459924439</v>
          </cell>
        </row>
        <row r="9">
          <cell r="A9" t="str">
            <v>S6_120002-012</v>
          </cell>
          <cell r="I9" t="str">
            <v>002-012</v>
          </cell>
          <cell r="J9" t="str">
            <v>BNU1</v>
          </cell>
          <cell r="K9" t="str">
            <v>S6_120</v>
          </cell>
          <cell r="S9">
            <v>12.66</v>
          </cell>
          <cell r="T9">
            <v>18.510000000000002</v>
          </cell>
          <cell r="U9">
            <v>5.8500000000000014</v>
          </cell>
          <cell r="V9">
            <v>5.8500000000000014</v>
          </cell>
          <cell r="W9">
            <v>170727</v>
          </cell>
          <cell r="X9">
            <v>170495.4</v>
          </cell>
          <cell r="Y9">
            <v>231.60000000000582</v>
          </cell>
          <cell r="Z9">
            <v>0.13565516877822828</v>
          </cell>
        </row>
        <row r="10">
          <cell r="A10" t="str">
            <v>S6_120013-029</v>
          </cell>
          <cell r="I10" t="str">
            <v>013-029</v>
          </cell>
          <cell r="J10" t="str">
            <v>BNU2</v>
          </cell>
          <cell r="K10" t="str">
            <v>S6_120</v>
          </cell>
          <cell r="S10">
            <v>18.510000000000002</v>
          </cell>
          <cell r="T10">
            <v>27.38</v>
          </cell>
          <cell r="U10">
            <v>8.8699999999999974</v>
          </cell>
          <cell r="V10">
            <v>8.8699999999999974</v>
          </cell>
          <cell r="W10">
            <v>193538.2</v>
          </cell>
          <cell r="X10">
            <v>193325</v>
          </cell>
          <cell r="Y10">
            <v>213.20000000001164</v>
          </cell>
          <cell r="Z10">
            <v>0.11015913137562075</v>
          </cell>
        </row>
        <row r="11">
          <cell r="A11" t="str">
            <v>S6_120030</v>
          </cell>
          <cell r="I11" t="str">
            <v>030</v>
          </cell>
          <cell r="J11" t="str">
            <v>floor</v>
          </cell>
          <cell r="K11" t="str">
            <v>S6_120</v>
          </cell>
          <cell r="S11">
            <v>27.39</v>
          </cell>
          <cell r="T11">
            <v>27.74</v>
          </cell>
          <cell r="U11">
            <v>0.34999999999999787</v>
          </cell>
          <cell r="V11">
            <v>0.34999999999999787</v>
          </cell>
          <cell r="W11">
            <v>13521.5</v>
          </cell>
          <cell r="X11">
            <v>13517.4</v>
          </cell>
          <cell r="Y11">
            <v>4.1000000000003638</v>
          </cell>
          <cell r="Z11">
            <v>3.0322079650928993E-2</v>
          </cell>
        </row>
        <row r="12">
          <cell r="A12" t="str">
            <v>S6_120031</v>
          </cell>
          <cell r="I12" t="str">
            <v>031</v>
          </cell>
          <cell r="J12" t="str">
            <v>roof</v>
          </cell>
          <cell r="K12" t="str">
            <v>S6_120</v>
          </cell>
          <cell r="S12">
            <v>75.11</v>
          </cell>
          <cell r="T12">
            <v>75.59</v>
          </cell>
          <cell r="U12">
            <v>0.48000000000000398</v>
          </cell>
          <cell r="V12">
            <v>0.48000000000000398</v>
          </cell>
          <cell r="W12">
            <v>17271.5</v>
          </cell>
          <cell r="X12">
            <v>17269.599999999999</v>
          </cell>
          <cell r="Y12">
            <v>1.9000000000014552</v>
          </cell>
          <cell r="Z12">
            <v>1.1000781634492982E-2</v>
          </cell>
        </row>
        <row r="13">
          <cell r="A13" t="str">
            <v>S6_120032-038</v>
          </cell>
          <cell r="I13" t="str">
            <v>032-038</v>
          </cell>
          <cell r="J13" t="str">
            <v>BNL1</v>
          </cell>
          <cell r="K13" t="str">
            <v>S6_120</v>
          </cell>
          <cell r="S13">
            <v>75.59</v>
          </cell>
          <cell r="T13">
            <v>79.83</v>
          </cell>
          <cell r="U13">
            <v>4.2099999999999937</v>
          </cell>
          <cell r="V13">
            <v>4.2399999999999949</v>
          </cell>
          <cell r="W13">
            <v>116749.8</v>
          </cell>
          <cell r="X13">
            <v>116583</v>
          </cell>
          <cell r="Y13">
            <v>166.80000000000291</v>
          </cell>
          <cell r="Z13">
            <v>0.14286962375952927</v>
          </cell>
        </row>
        <row r="14">
          <cell r="A14" t="str">
            <v>S6_120039</v>
          </cell>
          <cell r="I14" t="str">
            <v>039</v>
          </cell>
          <cell r="J14" t="str">
            <v>BNL1W</v>
          </cell>
          <cell r="K14" t="str">
            <v>S6_120</v>
          </cell>
          <cell r="S14">
            <v>79.83</v>
          </cell>
          <cell r="T14">
            <v>80.33</v>
          </cell>
          <cell r="U14">
            <v>0.5</v>
          </cell>
          <cell r="V14">
            <v>0.5</v>
          </cell>
          <cell r="W14">
            <v>16918.400000000001</v>
          </cell>
          <cell r="X14">
            <v>16918.400000000001</v>
          </cell>
          <cell r="Y14">
            <v>0</v>
          </cell>
          <cell r="Z14">
            <v>0</v>
          </cell>
        </row>
        <row r="15">
          <cell r="A15" t="str">
            <v>S6_120040-049</v>
          </cell>
          <cell r="I15" t="str">
            <v>040-049</v>
          </cell>
          <cell r="J15" t="str">
            <v>BNL2</v>
          </cell>
          <cell r="K15" t="str">
            <v>S6_120</v>
          </cell>
          <cell r="S15">
            <v>80.33</v>
          </cell>
          <cell r="T15">
            <v>87.8</v>
          </cell>
          <cell r="U15">
            <v>7.4200000000000017</v>
          </cell>
          <cell r="V15">
            <v>7.4699999999999989</v>
          </cell>
          <cell r="W15">
            <v>187033.4</v>
          </cell>
          <cell r="X15">
            <v>186738.2</v>
          </cell>
          <cell r="Y15">
            <v>295.19999999998254</v>
          </cell>
          <cell r="Z15">
            <v>0.15783277211449001</v>
          </cell>
        </row>
        <row r="16">
          <cell r="A16" t="str">
            <v>S6_120050-060</v>
          </cell>
          <cell r="I16" t="str">
            <v>050-060</v>
          </cell>
          <cell r="J16" t="str">
            <v>BNL2_BNL2W</v>
          </cell>
          <cell r="K16" t="str">
            <v>S6_120</v>
          </cell>
          <cell r="S16">
            <v>87.85</v>
          </cell>
          <cell r="T16">
            <v>94.23</v>
          </cell>
          <cell r="U16">
            <v>6.2500000000000142</v>
          </cell>
          <cell r="V16">
            <v>6.3800000000000097</v>
          </cell>
          <cell r="W16">
            <v>147733.29999999999</v>
          </cell>
          <cell r="X16">
            <v>147474.70000000001</v>
          </cell>
          <cell r="Y16">
            <v>258.59999999997672</v>
          </cell>
          <cell r="Z16">
            <v>0.17504516584952529</v>
          </cell>
        </row>
        <row r="17">
          <cell r="A17" t="str">
            <v>S6_120061-069</v>
          </cell>
          <cell r="I17" t="str">
            <v>061-069</v>
          </cell>
          <cell r="J17" t="str">
            <v>BNL3</v>
          </cell>
          <cell r="K17" t="str">
            <v>S6_120</v>
          </cell>
          <cell r="S17">
            <v>94.23</v>
          </cell>
          <cell r="T17">
            <v>99.25</v>
          </cell>
          <cell r="U17">
            <v>4.9599999999999937</v>
          </cell>
          <cell r="V17">
            <v>5.019999999999996</v>
          </cell>
          <cell r="W17">
            <v>112884.1</v>
          </cell>
          <cell r="X17">
            <v>112435.7</v>
          </cell>
          <cell r="Y17">
            <v>448.40000000000873</v>
          </cell>
          <cell r="Z17">
            <v>0.39722157504910671</v>
          </cell>
        </row>
        <row r="18">
          <cell r="A18" t="str">
            <v>S6_120070</v>
          </cell>
          <cell r="I18" t="str">
            <v>070</v>
          </cell>
          <cell r="J18" t="str">
            <v>floor</v>
          </cell>
          <cell r="K18" t="str">
            <v>S6_120</v>
          </cell>
          <cell r="S18">
            <v>99.25</v>
          </cell>
          <cell r="T18">
            <v>99.63</v>
          </cell>
          <cell r="U18">
            <v>0.37999999999999545</v>
          </cell>
          <cell r="V18">
            <v>0.37999999999999545</v>
          </cell>
          <cell r="W18">
            <v>15089.5</v>
          </cell>
          <cell r="X18">
            <v>15026.8</v>
          </cell>
          <cell r="Y18">
            <v>62.700000000000728</v>
          </cell>
          <cell r="Z18">
            <v>0.41552072633288528</v>
          </cell>
        </row>
        <row r="19">
          <cell r="A19" t="str">
            <v>S6_120071</v>
          </cell>
          <cell r="I19" t="str">
            <v>071</v>
          </cell>
          <cell r="J19" t="str">
            <v>roof</v>
          </cell>
          <cell r="K19" t="str">
            <v>S6_120</v>
          </cell>
          <cell r="S19">
            <v>116.12</v>
          </cell>
          <cell r="T19">
            <v>116.5</v>
          </cell>
          <cell r="U19">
            <v>0.37999999999999545</v>
          </cell>
          <cell r="V19">
            <v>0.37999999999999545</v>
          </cell>
          <cell r="W19">
            <v>12245.6</v>
          </cell>
          <cell r="X19">
            <v>12231.2</v>
          </cell>
          <cell r="Y19">
            <v>14.399999999999636</v>
          </cell>
          <cell r="Z19">
            <v>0.11759325798653913</v>
          </cell>
        </row>
        <row r="20">
          <cell r="A20" t="str">
            <v>S6_120072-075</v>
          </cell>
          <cell r="I20" t="str">
            <v>072-075</v>
          </cell>
          <cell r="J20" t="str">
            <v>BR</v>
          </cell>
          <cell r="K20" t="str">
            <v>S6_120</v>
          </cell>
          <cell r="S20">
            <v>116.5</v>
          </cell>
          <cell r="T20">
            <v>119.03</v>
          </cell>
          <cell r="U20">
            <v>2.5300000000000011</v>
          </cell>
          <cell r="V20">
            <v>2.5300000000000011</v>
          </cell>
          <cell r="W20">
            <v>55642.1</v>
          </cell>
          <cell r="X20">
            <v>55592.4</v>
          </cell>
          <cell r="Y20">
            <v>49.69999999999709</v>
          </cell>
          <cell r="Z20">
            <v>8.9320855970563828E-2</v>
          </cell>
        </row>
        <row r="21">
          <cell r="A21" t="str">
            <v>S6_120076</v>
          </cell>
          <cell r="I21" t="str">
            <v>076</v>
          </cell>
          <cell r="J21" t="str">
            <v>floor</v>
          </cell>
          <cell r="K21" t="str">
            <v>S6_120</v>
          </cell>
          <cell r="S21">
            <v>119.03</v>
          </cell>
          <cell r="T21">
            <v>119.41</v>
          </cell>
          <cell r="U21">
            <v>0.37999999999999545</v>
          </cell>
          <cell r="V21">
            <v>0.37999999999999545</v>
          </cell>
          <cell r="W21">
            <v>13301.6</v>
          </cell>
          <cell r="X21">
            <v>13298</v>
          </cell>
          <cell r="Y21">
            <v>3.6000000000003638</v>
          </cell>
          <cell r="Z21">
            <v>2.7064413303665449E-2</v>
          </cell>
        </row>
        <row r="22">
          <cell r="A22" t="str">
            <v>S6_120077</v>
          </cell>
          <cell r="I22" t="str">
            <v>077</v>
          </cell>
          <cell r="J22" t="str">
            <v>roof</v>
          </cell>
          <cell r="K22" t="str">
            <v>S6_120</v>
          </cell>
          <cell r="S22">
            <v>149.86000000000001</v>
          </cell>
          <cell r="T22">
            <v>150.44</v>
          </cell>
          <cell r="U22">
            <v>0.57999999999998408</v>
          </cell>
          <cell r="V22">
            <v>0.57999999999998408</v>
          </cell>
          <cell r="W22">
            <v>18789.900000000001</v>
          </cell>
          <cell r="X22">
            <v>18706</v>
          </cell>
          <cell r="Y22">
            <v>83.900000000001455</v>
          </cell>
          <cell r="Z22">
            <v>0.44651647959808966</v>
          </cell>
        </row>
        <row r="23">
          <cell r="A23" t="str">
            <v>S6_120078-084</v>
          </cell>
          <cell r="I23" t="str">
            <v>078-084</v>
          </cell>
          <cell r="J23" t="str">
            <v>UCT</v>
          </cell>
          <cell r="K23" t="str">
            <v>S6_120</v>
          </cell>
          <cell r="S23">
            <v>150.44</v>
          </cell>
          <cell r="T23">
            <v>154.97999999999999</v>
          </cell>
          <cell r="U23">
            <v>4.539999999999992</v>
          </cell>
          <cell r="V23">
            <v>4.539999999999992</v>
          </cell>
          <cell r="W23">
            <v>117279.6</v>
          </cell>
          <cell r="X23">
            <v>117033.2</v>
          </cell>
          <cell r="Y23">
            <v>246.40000000000873</v>
          </cell>
          <cell r="Z23">
            <v>0.21009621451642804</v>
          </cell>
        </row>
        <row r="24">
          <cell r="A24" t="str">
            <v>S6_120085-093</v>
          </cell>
          <cell r="I24" t="str">
            <v>085-093</v>
          </cell>
          <cell r="J24" t="str">
            <v>UCB</v>
          </cell>
          <cell r="K24" t="str">
            <v>S6_120</v>
          </cell>
          <cell r="S24">
            <v>154.97999999999999</v>
          </cell>
          <cell r="T24">
            <v>162.47999999999999</v>
          </cell>
          <cell r="U24">
            <v>7.5</v>
          </cell>
          <cell r="V24">
            <v>7.5</v>
          </cell>
          <cell r="W24">
            <v>168969</v>
          </cell>
          <cell r="X24">
            <v>168747</v>
          </cell>
          <cell r="Y24">
            <v>222</v>
          </cell>
          <cell r="Z24">
            <v>0.13138504696127692</v>
          </cell>
        </row>
        <row r="25">
          <cell r="A25" t="str">
            <v>S6_120094-102</v>
          </cell>
          <cell r="I25" t="str">
            <v>094-102</v>
          </cell>
          <cell r="J25" t="str">
            <v>UCB</v>
          </cell>
          <cell r="K25" t="str">
            <v>S6_120</v>
          </cell>
          <cell r="S25">
            <v>162.47999999999999</v>
          </cell>
          <cell r="T25">
            <v>170.02</v>
          </cell>
          <cell r="U25">
            <v>7.4500000000000455</v>
          </cell>
          <cell r="V25">
            <v>7.5400000000000205</v>
          </cell>
          <cell r="W25">
            <v>166481.1</v>
          </cell>
          <cell r="X25">
            <v>166277.4</v>
          </cell>
          <cell r="Y25">
            <v>203.70000000001164</v>
          </cell>
          <cell r="Z25">
            <v>0.12235623142807901</v>
          </cell>
        </row>
        <row r="26">
          <cell r="A26" t="str">
            <v>S6_120103-105</v>
          </cell>
          <cell r="I26" t="str">
            <v>103-105</v>
          </cell>
          <cell r="J26" t="str">
            <v>MC27</v>
          </cell>
          <cell r="K26" t="str">
            <v>S6_120</v>
          </cell>
          <cell r="S26">
            <v>170.02</v>
          </cell>
          <cell r="T26">
            <v>171.55</v>
          </cell>
          <cell r="U26">
            <v>1.529999999999994</v>
          </cell>
          <cell r="V26">
            <v>1.5300000000000011</v>
          </cell>
          <cell r="W26">
            <v>54826.1</v>
          </cell>
          <cell r="X26">
            <v>54798.8</v>
          </cell>
          <cell r="Y26">
            <v>27.299999999995634</v>
          </cell>
          <cell r="Z26">
            <v>4.9793802586716243E-2</v>
          </cell>
        </row>
        <row r="27">
          <cell r="A27" t="str">
            <v>S6_120106-109</v>
          </cell>
          <cell r="I27" t="str">
            <v>106-109</v>
          </cell>
          <cell r="J27" t="str">
            <v>MCM</v>
          </cell>
          <cell r="K27" t="str">
            <v>S6_120</v>
          </cell>
          <cell r="S27">
            <v>171.73</v>
          </cell>
          <cell r="T27">
            <v>174.14</v>
          </cell>
          <cell r="U27">
            <v>2.4099999999999966</v>
          </cell>
          <cell r="V27">
            <v>2.4099999999999966</v>
          </cell>
          <cell r="W27">
            <v>57831.5</v>
          </cell>
          <cell r="X27">
            <v>57731.5</v>
          </cell>
          <cell r="Y27">
            <v>100</v>
          </cell>
          <cell r="Z27">
            <v>0.17291614431581406</v>
          </cell>
        </row>
        <row r="28">
          <cell r="A28" t="str">
            <v>S6_120110-111</v>
          </cell>
          <cell r="I28" t="str">
            <v>110-111</v>
          </cell>
          <cell r="J28" t="str">
            <v>MC35</v>
          </cell>
          <cell r="K28" t="str">
            <v>S6_120</v>
          </cell>
          <cell r="S28">
            <v>174.14</v>
          </cell>
          <cell r="T28">
            <v>175.13</v>
          </cell>
          <cell r="U28">
            <v>0.99000000000000909</v>
          </cell>
          <cell r="V28">
            <v>0.99000000000000909</v>
          </cell>
          <cell r="W28">
            <v>25215.599999999999</v>
          </cell>
          <cell r="X28">
            <v>25192.6</v>
          </cell>
          <cell r="Y28">
            <v>23</v>
          </cell>
          <cell r="Z28">
            <v>9.1213375846698086E-2</v>
          </cell>
        </row>
        <row r="29">
          <cell r="A29" t="str">
            <v>S6_120112-122</v>
          </cell>
          <cell r="I29" t="str">
            <v>112-122</v>
          </cell>
          <cell r="J29" t="str">
            <v>LCUT_LCUB</v>
          </cell>
          <cell r="K29" t="str">
            <v>S6_120</v>
          </cell>
          <cell r="S29">
            <v>175.13</v>
          </cell>
          <cell r="T29">
            <v>180.19</v>
          </cell>
          <cell r="U29">
            <v>5.0099999999999909</v>
          </cell>
          <cell r="V29">
            <v>5.0600000000000023</v>
          </cell>
          <cell r="W29">
            <v>115927.5</v>
          </cell>
          <cell r="X29">
            <v>115213.6</v>
          </cell>
          <cell r="Y29">
            <v>713.89999999999418</v>
          </cell>
          <cell r="Z29">
            <v>0.61581591943239877</v>
          </cell>
        </row>
        <row r="30">
          <cell r="A30" t="str">
            <v>S6_120123-127</v>
          </cell>
          <cell r="I30" t="str">
            <v>123-127</v>
          </cell>
          <cell r="J30" t="str">
            <v>LC45_LC46</v>
          </cell>
          <cell r="K30" t="str">
            <v>S6_120</v>
          </cell>
          <cell r="S30">
            <v>180.19</v>
          </cell>
          <cell r="T30">
            <v>182.71</v>
          </cell>
          <cell r="U30">
            <v>2.5200000000000102</v>
          </cell>
          <cell r="V30">
            <v>2.5200000000000102</v>
          </cell>
          <cell r="W30">
            <v>53642.2</v>
          </cell>
          <cell r="X30">
            <v>53482.2</v>
          </cell>
          <cell r="Y30">
            <v>160</v>
          </cell>
          <cell r="Z30">
            <v>0.29827262863939213</v>
          </cell>
        </row>
        <row r="31">
          <cell r="A31" t="str">
            <v>S6_120128</v>
          </cell>
          <cell r="I31" t="str">
            <v>128</v>
          </cell>
          <cell r="J31" t="str">
            <v>floor</v>
          </cell>
          <cell r="K31" t="str">
            <v>S6_120</v>
          </cell>
          <cell r="S31">
            <v>182.71</v>
          </cell>
          <cell r="T31">
            <v>182.95</v>
          </cell>
          <cell r="U31">
            <v>0.23999999999998067</v>
          </cell>
          <cell r="V31">
            <v>0.23999999999998067</v>
          </cell>
          <cell r="W31">
            <v>8617.1</v>
          </cell>
          <cell r="X31">
            <v>8604.7999999999993</v>
          </cell>
          <cell r="Y31">
            <v>12.300000000001091</v>
          </cell>
          <cell r="Z31">
            <v>0.14273943670145514</v>
          </cell>
        </row>
        <row r="34">
          <cell r="A34" t="str">
            <v>S6_121001</v>
          </cell>
          <cell r="I34" t="str">
            <v>001</v>
          </cell>
          <cell r="J34" t="str">
            <v>roof</v>
          </cell>
          <cell r="K34" t="str">
            <v>S6_121</v>
          </cell>
          <cell r="S34">
            <v>40.22</v>
          </cell>
          <cell r="T34">
            <v>40.549999999999997</v>
          </cell>
          <cell r="U34">
            <v>0.32999999999999829</v>
          </cell>
          <cell r="V34">
            <v>0.32999999999999829</v>
          </cell>
          <cell r="Y34">
            <v>0</v>
          </cell>
          <cell r="Z34" t="e">
            <v>#DIV/0!</v>
          </cell>
        </row>
        <row r="35">
          <cell r="A35" t="str">
            <v>S6_121002-004</v>
          </cell>
          <cell r="I35" t="str">
            <v>002-004</v>
          </cell>
          <cell r="J35" t="str">
            <v>INL3</v>
          </cell>
          <cell r="K35" t="str">
            <v>S6_121</v>
          </cell>
          <cell r="S35">
            <v>40.549999999999997</v>
          </cell>
          <cell r="T35">
            <v>42.47</v>
          </cell>
          <cell r="U35">
            <v>1.9200000000000017</v>
          </cell>
          <cell r="V35">
            <v>1.9200000000000017</v>
          </cell>
          <cell r="Y35">
            <v>0</v>
          </cell>
          <cell r="Z35" t="e">
            <v>#DIV/0!</v>
          </cell>
        </row>
        <row r="36">
          <cell r="A36" t="str">
            <v>S6_121005-007</v>
          </cell>
          <cell r="I36" t="str">
            <v>005-007</v>
          </cell>
          <cell r="J36" t="str">
            <v>floor</v>
          </cell>
          <cell r="K36" t="str">
            <v>S6_121</v>
          </cell>
          <cell r="S36">
            <v>42.47</v>
          </cell>
          <cell r="T36">
            <v>43</v>
          </cell>
          <cell r="U36">
            <v>0.53000000000000114</v>
          </cell>
          <cell r="V36">
            <v>0.53000000000000114</v>
          </cell>
          <cell r="Y36">
            <v>0</v>
          </cell>
          <cell r="Z36" t="e">
            <v>#DIV/0!</v>
          </cell>
        </row>
        <row r="37">
          <cell r="A37" t="str">
            <v>S6_121008-009</v>
          </cell>
          <cell r="I37" t="str">
            <v>008-009</v>
          </cell>
          <cell r="J37" t="str">
            <v>roof</v>
          </cell>
          <cell r="K37" t="str">
            <v>S6_121</v>
          </cell>
          <cell r="S37">
            <v>55.18</v>
          </cell>
          <cell r="T37">
            <v>55.75</v>
          </cell>
          <cell r="U37">
            <v>0.57000000000000028</v>
          </cell>
          <cell r="V37">
            <v>0.57000000000000028</v>
          </cell>
          <cell r="Y37">
            <v>0</v>
          </cell>
          <cell r="Z37" t="e">
            <v>#DIV/0!</v>
          </cell>
        </row>
        <row r="38">
          <cell r="A38" t="str">
            <v>S6_121010-015</v>
          </cell>
          <cell r="I38" t="str">
            <v>010-015</v>
          </cell>
          <cell r="J38" t="str">
            <v>BNU1</v>
          </cell>
          <cell r="K38" t="str">
            <v>S6_121</v>
          </cell>
          <cell r="S38">
            <v>55.75</v>
          </cell>
          <cell r="T38">
            <v>60.36</v>
          </cell>
          <cell r="U38">
            <v>4.57</v>
          </cell>
          <cell r="V38">
            <v>4.6099999999999994</v>
          </cell>
          <cell r="Y38">
            <v>0</v>
          </cell>
          <cell r="Z38" t="e">
            <v>#DIV/0!</v>
          </cell>
        </row>
        <row r="39">
          <cell r="A39" t="str">
            <v>S6_121016-022</v>
          </cell>
          <cell r="I39" t="str">
            <v>016-022</v>
          </cell>
          <cell r="J39" t="str">
            <v>BNU2</v>
          </cell>
          <cell r="K39" t="str">
            <v>S6_121</v>
          </cell>
          <cell r="S39">
            <v>60.36</v>
          </cell>
          <cell r="T39">
            <v>62.41</v>
          </cell>
          <cell r="U39">
            <v>2.0499999999999972</v>
          </cell>
          <cell r="V39">
            <v>2.0499999999999972</v>
          </cell>
          <cell r="Y39">
            <v>0</v>
          </cell>
          <cell r="Z39" t="e">
            <v>#DIV/0!</v>
          </cell>
        </row>
        <row r="40">
          <cell r="A40" t="str">
            <v>S6_121023</v>
          </cell>
          <cell r="I40" t="str">
            <v>023</v>
          </cell>
          <cell r="J40" t="str">
            <v>floor</v>
          </cell>
          <cell r="K40" t="str">
            <v>S6_121</v>
          </cell>
          <cell r="S40">
            <v>62.41</v>
          </cell>
          <cell r="T40">
            <v>62.76</v>
          </cell>
          <cell r="U40">
            <v>0.35000000000000142</v>
          </cell>
          <cell r="V40">
            <v>0.35000000000000142</v>
          </cell>
          <cell r="Y40">
            <v>0</v>
          </cell>
          <cell r="Z40" t="e">
            <v>#DIV/0!</v>
          </cell>
        </row>
        <row r="41">
          <cell r="A41" t="str">
            <v>S6_121024</v>
          </cell>
          <cell r="I41" t="str">
            <v>024</v>
          </cell>
          <cell r="J41" t="str">
            <v>roof</v>
          </cell>
          <cell r="K41" t="str">
            <v>S6_121</v>
          </cell>
          <cell r="S41">
            <v>71.239999999999995</v>
          </cell>
          <cell r="T41">
            <v>71.56</v>
          </cell>
          <cell r="U41">
            <v>0.32000000000000739</v>
          </cell>
          <cell r="V41">
            <v>0.32000000000000739</v>
          </cell>
          <cell r="Y41">
            <v>0</v>
          </cell>
          <cell r="Z41" t="e">
            <v>#DIV/0!</v>
          </cell>
        </row>
        <row r="42">
          <cell r="A42" t="str">
            <v>S6_121025-028</v>
          </cell>
          <cell r="I42" t="str">
            <v>025-028</v>
          </cell>
          <cell r="J42" t="str">
            <v>BNL1_BNL1W</v>
          </cell>
          <cell r="K42" t="str">
            <v>S6_121</v>
          </cell>
          <cell r="S42">
            <v>71.56</v>
          </cell>
          <cell r="T42">
            <v>75.69</v>
          </cell>
          <cell r="U42">
            <v>1.9500000000000028</v>
          </cell>
          <cell r="V42">
            <v>4.1299999999999955</v>
          </cell>
          <cell r="Y42">
            <v>0</v>
          </cell>
          <cell r="Z42" t="e">
            <v>#DIV/0!</v>
          </cell>
        </row>
        <row r="43">
          <cell r="A43" t="str">
            <v>S6_121029-038</v>
          </cell>
          <cell r="I43" t="str">
            <v>029-038</v>
          </cell>
          <cell r="J43" t="str">
            <v>BNL2</v>
          </cell>
          <cell r="K43" t="str">
            <v>S6_121</v>
          </cell>
          <cell r="S43">
            <v>75.69</v>
          </cell>
          <cell r="T43">
            <v>80.45</v>
          </cell>
          <cell r="U43">
            <v>4.7600000000000051</v>
          </cell>
          <cell r="V43">
            <v>4.7600000000000051</v>
          </cell>
          <cell r="Y43">
            <v>0</v>
          </cell>
          <cell r="Z43" t="e">
            <v>#DIV/0!</v>
          </cell>
        </row>
        <row r="44">
          <cell r="A44" t="str">
            <v>S6_121039-047</v>
          </cell>
          <cell r="I44" t="str">
            <v>039-047</v>
          </cell>
          <cell r="J44" t="str">
            <v>BNL2_BNL2W</v>
          </cell>
          <cell r="K44" t="str">
            <v>S6_121</v>
          </cell>
          <cell r="S44">
            <v>80.45</v>
          </cell>
          <cell r="T44">
            <v>85.06</v>
          </cell>
          <cell r="U44">
            <v>4.519999999999996</v>
          </cell>
          <cell r="V44">
            <v>4.6099999999999994</v>
          </cell>
          <cell r="Y44">
            <v>0</v>
          </cell>
          <cell r="Z44" t="e">
            <v>#DIV/0!</v>
          </cell>
        </row>
        <row r="45">
          <cell r="A45" t="str">
            <v>S6_121048-054</v>
          </cell>
          <cell r="I45" t="str">
            <v>048-054</v>
          </cell>
          <cell r="J45" t="str">
            <v>BNL3</v>
          </cell>
          <cell r="K45" t="str">
            <v>S6_121</v>
          </cell>
          <cell r="S45">
            <v>85.06</v>
          </cell>
          <cell r="T45">
            <v>90.63</v>
          </cell>
          <cell r="U45">
            <v>5.5699999999999932</v>
          </cell>
          <cell r="V45">
            <v>5.5699999999999932</v>
          </cell>
          <cell r="Y45">
            <v>0</v>
          </cell>
          <cell r="Z45" t="e">
            <v>#DIV/0!</v>
          </cell>
        </row>
        <row r="46">
          <cell r="A46" t="str">
            <v>S6_121055</v>
          </cell>
          <cell r="I46" t="str">
            <v>055</v>
          </cell>
          <cell r="J46" t="str">
            <v>floor</v>
          </cell>
          <cell r="K46" t="str">
            <v>S6_121</v>
          </cell>
          <cell r="S46">
            <v>90.63</v>
          </cell>
          <cell r="T46">
            <v>90.9</v>
          </cell>
          <cell r="U46">
            <v>0.27000000000001023</v>
          </cell>
          <cell r="V46">
            <v>0.27000000000001023</v>
          </cell>
          <cell r="Y46">
            <v>0</v>
          </cell>
          <cell r="Z46" t="e">
            <v>#DIV/0!</v>
          </cell>
        </row>
        <row r="47">
          <cell r="A47" t="str">
            <v>S6_121056</v>
          </cell>
          <cell r="I47" t="str">
            <v>056</v>
          </cell>
          <cell r="J47" t="str">
            <v>roof</v>
          </cell>
          <cell r="K47" t="str">
            <v>S6_121</v>
          </cell>
          <cell r="S47">
            <v>102.11</v>
          </cell>
          <cell r="T47">
            <v>102.78</v>
          </cell>
          <cell r="U47">
            <v>0.67000000000000171</v>
          </cell>
          <cell r="V47">
            <v>0.67000000000000171</v>
          </cell>
          <cell r="Y47">
            <v>0</v>
          </cell>
          <cell r="Z47" t="e">
            <v>#DIV/0!</v>
          </cell>
        </row>
        <row r="48">
          <cell r="A48" t="str">
            <v>S6_121057-058</v>
          </cell>
          <cell r="I48" t="str">
            <v>057-058</v>
          </cell>
          <cell r="J48" t="str">
            <v>BR</v>
          </cell>
          <cell r="K48" t="str">
            <v>S6_121</v>
          </cell>
          <cell r="S48">
            <v>102.78</v>
          </cell>
          <cell r="T48">
            <v>103.61</v>
          </cell>
          <cell r="U48">
            <v>0.82999999999999829</v>
          </cell>
          <cell r="V48">
            <v>0.82999999999999829</v>
          </cell>
          <cell r="Y48">
            <v>0</v>
          </cell>
          <cell r="Z48" t="e">
            <v>#DIV/0!</v>
          </cell>
        </row>
        <row r="49">
          <cell r="A49" t="str">
            <v>S6_121059</v>
          </cell>
          <cell r="I49" t="str">
            <v>059</v>
          </cell>
          <cell r="J49" t="str">
            <v>floor</v>
          </cell>
          <cell r="K49" t="str">
            <v>S6_121</v>
          </cell>
          <cell r="S49">
            <v>103.61</v>
          </cell>
          <cell r="T49">
            <v>103.94</v>
          </cell>
          <cell r="U49">
            <v>0.32999999999999829</v>
          </cell>
          <cell r="V49">
            <v>0.32999999999999829</v>
          </cell>
          <cell r="Y49">
            <v>0</v>
          </cell>
          <cell r="Z49" t="e">
            <v>#DIV/0!</v>
          </cell>
        </row>
        <row r="50">
          <cell r="A50" t="str">
            <v>S6_121060</v>
          </cell>
          <cell r="I50" t="str">
            <v>060</v>
          </cell>
          <cell r="J50" t="str">
            <v>roof</v>
          </cell>
          <cell r="K50" t="str">
            <v>S6_121</v>
          </cell>
          <cell r="S50">
            <v>139.84</v>
          </cell>
          <cell r="T50">
            <v>140.16999999999999</v>
          </cell>
          <cell r="U50">
            <v>0.32999999999998408</v>
          </cell>
          <cell r="V50">
            <v>0.32999999999998408</v>
          </cell>
          <cell r="Y50">
            <v>0</v>
          </cell>
          <cell r="Z50" t="e">
            <v>#DIV/0!</v>
          </cell>
        </row>
        <row r="51">
          <cell r="A51" t="str">
            <v>S6_121061-067</v>
          </cell>
          <cell r="I51" t="str">
            <v>061-067</v>
          </cell>
          <cell r="J51" t="str">
            <v>UCT</v>
          </cell>
          <cell r="K51" t="str">
            <v>S6_121</v>
          </cell>
          <cell r="S51">
            <v>140.16999999999999</v>
          </cell>
          <cell r="T51">
            <v>144.57</v>
          </cell>
          <cell r="U51">
            <v>4.1400000000000148</v>
          </cell>
          <cell r="V51">
            <v>4.4000000000000057</v>
          </cell>
          <cell r="Y51">
            <v>0</v>
          </cell>
          <cell r="Z51" t="e">
            <v>#DIV/0!</v>
          </cell>
        </row>
        <row r="52">
          <cell r="A52" t="str">
            <v>S6_121068-074</v>
          </cell>
          <cell r="I52" t="str">
            <v>068-074</v>
          </cell>
          <cell r="J52" t="str">
            <v>UCT</v>
          </cell>
          <cell r="K52" t="str">
            <v>S6_121</v>
          </cell>
          <cell r="S52">
            <v>144.57</v>
          </cell>
          <cell r="T52">
            <v>148.79</v>
          </cell>
          <cell r="U52">
            <v>4.1899999999999977</v>
          </cell>
          <cell r="V52">
            <v>4.2199999999999989</v>
          </cell>
          <cell r="Y52">
            <v>0</v>
          </cell>
          <cell r="Z52" t="e">
            <v>#DIV/0!</v>
          </cell>
        </row>
        <row r="53">
          <cell r="A53" t="str">
            <v>S6_121075-082</v>
          </cell>
          <cell r="I53" t="str">
            <v>075-082</v>
          </cell>
          <cell r="J53" t="str">
            <v>UCB</v>
          </cell>
          <cell r="K53" t="str">
            <v>S6_121</v>
          </cell>
          <cell r="S53">
            <v>148.79</v>
          </cell>
          <cell r="T53">
            <v>154.68</v>
          </cell>
          <cell r="U53">
            <v>5.8000000000000114</v>
          </cell>
          <cell r="V53">
            <v>5.8900000000000148</v>
          </cell>
          <cell r="Y53">
            <v>0</v>
          </cell>
          <cell r="Z53" t="e">
            <v>#DIV/0!</v>
          </cell>
        </row>
        <row r="54">
          <cell r="A54" t="str">
            <v>S6_121083-084</v>
          </cell>
          <cell r="I54" t="str">
            <v>083-084</v>
          </cell>
          <cell r="J54" t="str">
            <v>MC27</v>
          </cell>
          <cell r="K54" t="str">
            <v>S6_121</v>
          </cell>
          <cell r="S54">
            <v>154.68</v>
          </cell>
          <cell r="T54">
            <v>161.28</v>
          </cell>
          <cell r="U54">
            <v>0.72999999999998977</v>
          </cell>
          <cell r="V54">
            <v>6.5999999999999943</v>
          </cell>
          <cell r="Y54">
            <v>0</v>
          </cell>
          <cell r="Z54" t="e">
            <v>#DIV/0!</v>
          </cell>
        </row>
        <row r="55">
          <cell r="A55" t="str">
            <v>S6_121085-099</v>
          </cell>
          <cell r="I55" t="str">
            <v>085-099</v>
          </cell>
          <cell r="J55" t="str">
            <v>MCM_MC35</v>
          </cell>
          <cell r="K55" t="str">
            <v>S6_121</v>
          </cell>
          <cell r="S55">
            <v>161.28</v>
          </cell>
          <cell r="T55">
            <v>168.79</v>
          </cell>
          <cell r="U55">
            <v>7.3700000000000045</v>
          </cell>
          <cell r="V55">
            <v>7.5099999999999909</v>
          </cell>
          <cell r="Y55">
            <v>0</v>
          </cell>
          <cell r="Z55" t="e">
            <v>#DIV/0!</v>
          </cell>
        </row>
        <row r="56">
          <cell r="A56" t="str">
            <v>S6_121100-105</v>
          </cell>
          <cell r="I56" t="str">
            <v>100-105</v>
          </cell>
          <cell r="J56" t="str">
            <v>LCUT_LCUB</v>
          </cell>
          <cell r="K56" t="str">
            <v>S6_121</v>
          </cell>
          <cell r="S56">
            <v>168.79</v>
          </cell>
          <cell r="T56">
            <v>174.05</v>
          </cell>
          <cell r="U56">
            <v>5.1700000000000159</v>
          </cell>
          <cell r="V56">
            <v>5.2600000000000193</v>
          </cell>
          <cell r="Y56">
            <v>0</v>
          </cell>
          <cell r="Z56" t="e">
            <v>#DIV/0!</v>
          </cell>
        </row>
        <row r="57">
          <cell r="A57" t="str">
            <v>S6_121106-109</v>
          </cell>
          <cell r="I57" t="str">
            <v>106-109</v>
          </cell>
          <cell r="J57" t="str">
            <v>LC45_LC46</v>
          </cell>
          <cell r="K57" t="str">
            <v>S6_121</v>
          </cell>
          <cell r="S57">
            <v>174.05</v>
          </cell>
          <cell r="T57">
            <v>176.88</v>
          </cell>
          <cell r="U57">
            <v>2.8199999999999932</v>
          </cell>
          <cell r="V57">
            <v>2.8299999999999841</v>
          </cell>
          <cell r="Y57">
            <v>0</v>
          </cell>
          <cell r="Z57" t="e">
            <v>#DIV/0!</v>
          </cell>
        </row>
        <row r="58">
          <cell r="A58" t="str">
            <v>S6_121110</v>
          </cell>
          <cell r="I58" t="str">
            <v>110</v>
          </cell>
          <cell r="J58" t="str">
            <v>floor</v>
          </cell>
          <cell r="K58" t="str">
            <v>S6_121</v>
          </cell>
          <cell r="S58">
            <v>176.88</v>
          </cell>
          <cell r="T58">
            <v>177.37</v>
          </cell>
          <cell r="U58">
            <v>0.49000000000000909</v>
          </cell>
          <cell r="V58">
            <v>0.49000000000000909</v>
          </cell>
          <cell r="Y58">
            <v>0</v>
          </cell>
          <cell r="Z58" t="e">
            <v>#DIV/0!</v>
          </cell>
        </row>
        <row r="63">
          <cell r="B63" t="str">
            <v>CCC01</v>
          </cell>
          <cell r="C63">
            <v>85015104</v>
          </cell>
          <cell r="F63">
            <v>1856900</v>
          </cell>
          <cell r="H63" t="str">
            <v xml:space="preserve">Coking </v>
          </cell>
          <cell r="I63" t="str">
            <v>002-012</v>
          </cell>
          <cell r="J63" t="str">
            <v>BNU1</v>
          </cell>
          <cell r="K63" t="str">
            <v>S6_120</v>
          </cell>
          <cell r="L63" t="str">
            <v>F1.45</v>
          </cell>
          <cell r="S63">
            <v>12.66</v>
          </cell>
          <cell r="T63">
            <v>18.510000000000002</v>
          </cell>
          <cell r="U63">
            <v>5.8500000000000014</v>
          </cell>
          <cell r="V63">
            <v>5.8500000000000014</v>
          </cell>
        </row>
        <row r="64">
          <cell r="B64" t="str">
            <v>CCC02</v>
          </cell>
          <cell r="C64">
            <v>85015104</v>
          </cell>
          <cell r="F64">
            <v>1856901</v>
          </cell>
          <cell r="I64" t="str">
            <v/>
          </cell>
          <cell r="J64" t="str">
            <v/>
          </cell>
          <cell r="K64" t="str">
            <v>S6_120</v>
          </cell>
          <cell r="L64" t="str">
            <v>F1.45</v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</row>
        <row r="65">
          <cell r="B65" t="str">
            <v>CCC03</v>
          </cell>
          <cell r="C65">
            <v>85015104</v>
          </cell>
          <cell r="F65">
            <v>1856902</v>
          </cell>
          <cell r="I65" t="str">
            <v>013-029</v>
          </cell>
          <cell r="J65" t="str">
            <v>BNU2</v>
          </cell>
          <cell r="K65" t="str">
            <v>S6_120</v>
          </cell>
          <cell r="L65" t="str">
            <v>F1.45</v>
          </cell>
          <cell r="S65">
            <v>18.510000000000002</v>
          </cell>
          <cell r="T65">
            <v>27.38</v>
          </cell>
          <cell r="U65">
            <v>8.8699999999999974</v>
          </cell>
          <cell r="V65">
            <v>8.8699999999999974</v>
          </cell>
        </row>
        <row r="66">
          <cell r="B66" t="str">
            <v>CCC04</v>
          </cell>
          <cell r="C66">
            <v>85015104</v>
          </cell>
          <cell r="F66">
            <v>1856903</v>
          </cell>
          <cell r="I66" t="str">
            <v>032-038</v>
          </cell>
          <cell r="J66" t="str">
            <v>BNL1</v>
          </cell>
          <cell r="K66" t="str">
            <v>S6_120</v>
          </cell>
          <cell r="L66" t="str">
            <v>F1.45</v>
          </cell>
          <cell r="S66">
            <v>75.59</v>
          </cell>
          <cell r="T66">
            <v>79.83</v>
          </cell>
          <cell r="U66">
            <v>4.21</v>
          </cell>
          <cell r="V66">
            <v>4.24</v>
          </cell>
        </row>
        <row r="67">
          <cell r="B67" t="str">
            <v>CCC05</v>
          </cell>
          <cell r="C67">
            <v>85015104</v>
          </cell>
          <cell r="F67">
            <v>1856904</v>
          </cell>
          <cell r="I67" t="str">
            <v>040-049</v>
          </cell>
          <cell r="J67" t="str">
            <v>BNL2</v>
          </cell>
          <cell r="K67" t="str">
            <v>S6_120</v>
          </cell>
          <cell r="L67" t="str">
            <v>F1.45</v>
          </cell>
          <cell r="S67">
            <v>80.33</v>
          </cell>
          <cell r="T67">
            <v>87.8</v>
          </cell>
          <cell r="U67">
            <v>7.4200000000000017</v>
          </cell>
          <cell r="V67">
            <v>7.4699999999999989</v>
          </cell>
        </row>
        <row r="68">
          <cell r="B68" t="str">
            <v>CCC06</v>
          </cell>
          <cell r="C68">
            <v>85015104</v>
          </cell>
          <cell r="F68">
            <v>1856905</v>
          </cell>
          <cell r="I68" t="str">
            <v>050-069</v>
          </cell>
          <cell r="J68" t="str">
            <v>BNL2_BNL3</v>
          </cell>
          <cell r="K68" t="str">
            <v>S6_120</v>
          </cell>
          <cell r="L68" t="str">
            <v>F1.45</v>
          </cell>
          <cell r="S68">
            <v>87.85</v>
          </cell>
          <cell r="T68">
            <v>99.25</v>
          </cell>
          <cell r="U68">
            <v>11.210000000000008</v>
          </cell>
          <cell r="V68">
            <v>11.400000000000006</v>
          </cell>
        </row>
        <row r="69">
          <cell r="B69" t="str">
            <v>CCC07</v>
          </cell>
          <cell r="C69">
            <v>85015104</v>
          </cell>
          <cell r="F69">
            <v>1856906</v>
          </cell>
          <cell r="I69" t="str">
            <v>072-075</v>
          </cell>
          <cell r="J69" t="str">
            <v>BR</v>
          </cell>
          <cell r="K69" t="str">
            <v>S6_120</v>
          </cell>
          <cell r="L69" t="str">
            <v>F1.45</v>
          </cell>
          <cell r="S69">
            <v>116.5</v>
          </cell>
          <cell r="T69">
            <v>119.03</v>
          </cell>
          <cell r="U69">
            <v>2.5300000000000011</v>
          </cell>
          <cell r="V69">
            <v>2.5300000000000011</v>
          </cell>
        </row>
        <row r="70">
          <cell r="B70" t="str">
            <v>CCC08</v>
          </cell>
          <cell r="C70">
            <v>85015104</v>
          </cell>
          <cell r="F70">
            <v>1856907</v>
          </cell>
          <cell r="I70" t="str">
            <v>078-084</v>
          </cell>
          <cell r="J70" t="str">
            <v>UCT</v>
          </cell>
          <cell r="K70" t="str">
            <v>S6_120</v>
          </cell>
          <cell r="L70" t="str">
            <v>F1.45</v>
          </cell>
          <cell r="S70">
            <v>150.44</v>
          </cell>
          <cell r="T70">
            <v>154.97999999999999</v>
          </cell>
          <cell r="U70">
            <v>4.54</v>
          </cell>
          <cell r="V70">
            <v>4.54</v>
          </cell>
        </row>
        <row r="71">
          <cell r="B71" t="str">
            <v>CCC09</v>
          </cell>
          <cell r="C71">
            <v>85015104</v>
          </cell>
          <cell r="F71">
            <v>1856908</v>
          </cell>
          <cell r="I71" t="str">
            <v>085-093</v>
          </cell>
          <cell r="J71" t="str">
            <v>UCB</v>
          </cell>
          <cell r="K71" t="str">
            <v>S6_120</v>
          </cell>
          <cell r="L71" t="str">
            <v>F1.45</v>
          </cell>
          <cell r="S71">
            <v>154.97999999999999</v>
          </cell>
          <cell r="T71">
            <v>162.47999999999999</v>
          </cell>
          <cell r="U71">
            <v>7.5</v>
          </cell>
          <cell r="V71">
            <v>7.5</v>
          </cell>
        </row>
        <row r="72">
          <cell r="B72" t="str">
            <v>CCC10</v>
          </cell>
          <cell r="C72">
            <v>85015104</v>
          </cell>
          <cell r="F72">
            <v>1856909</v>
          </cell>
          <cell r="I72" t="str">
            <v>094-102</v>
          </cell>
          <cell r="J72" t="str">
            <v>UCB</v>
          </cell>
          <cell r="K72" t="str">
            <v>S6_120</v>
          </cell>
          <cell r="L72" t="str">
            <v>F1.45</v>
          </cell>
          <cell r="S72">
            <v>162.47999999999999</v>
          </cell>
          <cell r="T72">
            <v>170.02</v>
          </cell>
          <cell r="U72">
            <v>7.45</v>
          </cell>
          <cell r="V72">
            <v>7.54</v>
          </cell>
        </row>
        <row r="73">
          <cell r="B73" t="str">
            <v>CCC11</v>
          </cell>
          <cell r="C73">
            <v>85015104</v>
          </cell>
          <cell r="F73">
            <v>1856910</v>
          </cell>
          <cell r="I73" t="str">
            <v>106-109</v>
          </cell>
          <cell r="J73" t="str">
            <v>MCM</v>
          </cell>
          <cell r="K73" t="str">
            <v>S6_120</v>
          </cell>
          <cell r="L73" t="str">
            <v>F1.45</v>
          </cell>
          <cell r="S73">
            <v>171.73</v>
          </cell>
          <cell r="T73">
            <v>174.14</v>
          </cell>
          <cell r="U73">
            <v>2.4099999999999966</v>
          </cell>
          <cell r="V73">
            <v>2.4099999999999966</v>
          </cell>
        </row>
        <row r="74">
          <cell r="B74" t="str">
            <v>CCC12</v>
          </cell>
          <cell r="C74">
            <v>85015104</v>
          </cell>
          <cell r="F74">
            <v>1856911</v>
          </cell>
          <cell r="I74" t="str">
            <v>112-122</v>
          </cell>
          <cell r="J74" t="str">
            <v>LCUT_LCUB</v>
          </cell>
          <cell r="K74" t="str">
            <v>S6_120</v>
          </cell>
          <cell r="L74" t="str">
            <v>F1.45</v>
          </cell>
          <cell r="S74">
            <v>175.13</v>
          </cell>
          <cell r="T74">
            <v>180.19</v>
          </cell>
          <cell r="U74">
            <v>5.01</v>
          </cell>
          <cell r="V74">
            <v>5.0600000000000023</v>
          </cell>
        </row>
        <row r="75">
          <cell r="B75" t="str">
            <v>CCC13</v>
          </cell>
          <cell r="C75">
            <v>85015104</v>
          </cell>
          <cell r="I75" t="str">
            <v>123-127</v>
          </cell>
          <cell r="J75" t="str">
            <v>LC45_LC46</v>
          </cell>
          <cell r="K75" t="str">
            <v>S6_120</v>
          </cell>
          <cell r="L75" t="str">
            <v>F1.45</v>
          </cell>
          <cell r="S75">
            <v>180.19</v>
          </cell>
          <cell r="T75">
            <v>182.71</v>
          </cell>
          <cell r="U75">
            <v>2.52</v>
          </cell>
          <cell r="V75">
            <v>2.52</v>
          </cell>
        </row>
        <row r="77">
          <cell r="B77" t="str">
            <v>CCC14</v>
          </cell>
          <cell r="C77">
            <v>85015104</v>
          </cell>
          <cell r="F77">
            <v>1854189</v>
          </cell>
          <cell r="H77" t="str">
            <v>export thermal</v>
          </cell>
          <cell r="I77" t="str">
            <v>002-029</v>
          </cell>
          <cell r="J77" t="str">
            <v>BNU1_BNU2</v>
          </cell>
          <cell r="K77" t="str">
            <v>S6_120</v>
          </cell>
          <cell r="L77" t="str">
            <v>S1.45 - F1.50</v>
          </cell>
          <cell r="S77">
            <v>12.66</v>
          </cell>
          <cell r="T77">
            <v>27.38</v>
          </cell>
          <cell r="U77">
            <v>14.719999999999999</v>
          </cell>
          <cell r="V77">
            <v>14.719999999999999</v>
          </cell>
        </row>
        <row r="78">
          <cell r="B78" t="str">
            <v>CCC15</v>
          </cell>
          <cell r="C78">
            <v>85015104</v>
          </cell>
          <cell r="F78">
            <v>1854190</v>
          </cell>
          <cell r="I78" t="str">
            <v>032-049</v>
          </cell>
          <cell r="J78" t="str">
            <v>BNL1_BNL2</v>
          </cell>
          <cell r="K78" t="str">
            <v>S6_120</v>
          </cell>
          <cell r="L78" t="str">
            <v>S1.45 - F1.50</v>
          </cell>
          <cell r="S78">
            <v>75.59</v>
          </cell>
          <cell r="T78">
            <v>87.8</v>
          </cell>
          <cell r="U78">
            <v>11.629999999999995</v>
          </cell>
          <cell r="V78">
            <v>12.209999999999994</v>
          </cell>
        </row>
        <row r="79">
          <cell r="B79" t="str">
            <v>CCC16</v>
          </cell>
          <cell r="C79">
            <v>85015104</v>
          </cell>
          <cell r="F79">
            <v>1854191</v>
          </cell>
          <cell r="I79" t="str">
            <v>050-069</v>
          </cell>
          <cell r="J79" t="str">
            <v>BNL2_BNL3</v>
          </cell>
          <cell r="K79" t="str">
            <v>S6_120</v>
          </cell>
          <cell r="L79" t="str">
            <v>S1.45 - F1.50</v>
          </cell>
          <cell r="S79">
            <v>87.85</v>
          </cell>
          <cell r="T79">
            <v>99.25</v>
          </cell>
          <cell r="U79">
            <v>11.210000000000008</v>
          </cell>
          <cell r="V79">
            <v>11.400000000000006</v>
          </cell>
        </row>
        <row r="80">
          <cell r="B80" t="str">
            <v>CCC17</v>
          </cell>
          <cell r="C80">
            <v>85015104</v>
          </cell>
          <cell r="F80">
            <v>1854192</v>
          </cell>
          <cell r="I80" t="str">
            <v>072-075</v>
          </cell>
          <cell r="J80" t="str">
            <v>BR</v>
          </cell>
          <cell r="K80" t="str">
            <v>S6_120</v>
          </cell>
          <cell r="L80" t="str">
            <v>S1.45 - F1.50</v>
          </cell>
          <cell r="S80">
            <v>116.5</v>
          </cell>
          <cell r="T80">
            <v>119.03</v>
          </cell>
          <cell r="U80">
            <v>2.5300000000000011</v>
          </cell>
          <cell r="V80">
            <v>2.5300000000000011</v>
          </cell>
        </row>
        <row r="81">
          <cell r="B81" t="str">
            <v>CCC18</v>
          </cell>
          <cell r="C81">
            <v>85015104</v>
          </cell>
          <cell r="F81">
            <v>1854193</v>
          </cell>
          <cell r="I81" t="str">
            <v>078-084</v>
          </cell>
          <cell r="J81" t="str">
            <v>UCT</v>
          </cell>
          <cell r="K81" t="str">
            <v>S6_120</v>
          </cell>
          <cell r="L81" t="str">
            <v>S1.45 - F1.50</v>
          </cell>
          <cell r="S81">
            <v>150.44</v>
          </cell>
          <cell r="T81">
            <v>154.97999999999999</v>
          </cell>
          <cell r="U81">
            <v>4.54</v>
          </cell>
          <cell r="V81">
            <v>4.54</v>
          </cell>
        </row>
        <row r="82">
          <cell r="B82" t="str">
            <v>CCC19</v>
          </cell>
          <cell r="C82">
            <v>85015104</v>
          </cell>
          <cell r="F82">
            <v>1854194</v>
          </cell>
          <cell r="I82" t="str">
            <v>085-093</v>
          </cell>
          <cell r="J82" t="str">
            <v>UCB</v>
          </cell>
          <cell r="K82" t="str">
            <v>S6_120</v>
          </cell>
          <cell r="L82" t="str">
            <v>S1.45 - F1.50</v>
          </cell>
          <cell r="S82">
            <v>154.97999999999999</v>
          </cell>
          <cell r="T82">
            <v>162.47999999999999</v>
          </cell>
          <cell r="U82">
            <v>7.5</v>
          </cell>
          <cell r="V82">
            <v>7.5</v>
          </cell>
        </row>
        <row r="83">
          <cell r="B83" t="str">
            <v>CCC20</v>
          </cell>
          <cell r="C83">
            <v>85015104</v>
          </cell>
          <cell r="F83">
            <v>1854195</v>
          </cell>
          <cell r="I83" t="str">
            <v>094-102</v>
          </cell>
          <cell r="J83" t="str">
            <v>UCB</v>
          </cell>
          <cell r="K83" t="str">
            <v>S6_120</v>
          </cell>
          <cell r="L83" t="str">
            <v>S1.45 - F1.50</v>
          </cell>
          <cell r="S83">
            <v>162.47999999999999</v>
          </cell>
          <cell r="T83">
            <v>170.02</v>
          </cell>
          <cell r="U83">
            <v>7.45</v>
          </cell>
          <cell r="V83">
            <v>7.54</v>
          </cell>
        </row>
        <row r="84">
          <cell r="B84" t="str">
            <v>CCC21</v>
          </cell>
          <cell r="C84">
            <v>85015104</v>
          </cell>
          <cell r="F84">
            <v>1854196</v>
          </cell>
          <cell r="I84" t="str">
            <v>106-109</v>
          </cell>
          <cell r="J84" t="str">
            <v>MCM</v>
          </cell>
          <cell r="K84" t="str">
            <v>S6_120</v>
          </cell>
          <cell r="L84" t="str">
            <v>S1.45 - F1.50</v>
          </cell>
          <cell r="S84">
            <v>171.73</v>
          </cell>
          <cell r="T84">
            <v>174.14</v>
          </cell>
          <cell r="U84">
            <v>2.4099999999999966</v>
          </cell>
          <cell r="V84">
            <v>2.4099999999999966</v>
          </cell>
        </row>
        <row r="85">
          <cell r="B85" t="str">
            <v>CCC22</v>
          </cell>
          <cell r="C85">
            <v>85015104</v>
          </cell>
          <cell r="F85">
            <v>1854197</v>
          </cell>
          <cell r="I85" t="str">
            <v>112-122</v>
          </cell>
          <cell r="J85" t="str">
            <v>LCUT_LCUB</v>
          </cell>
          <cell r="K85" t="str">
            <v>S6_120</v>
          </cell>
          <cell r="L85" t="str">
            <v>S1.45 - F1.50</v>
          </cell>
          <cell r="S85">
            <v>175.13</v>
          </cell>
          <cell r="T85">
            <v>180.19</v>
          </cell>
          <cell r="U85">
            <v>5.01</v>
          </cell>
          <cell r="V85">
            <v>5.0600000000000023</v>
          </cell>
        </row>
        <row r="86">
          <cell r="B86" t="str">
            <v>CCC23</v>
          </cell>
          <cell r="C86">
            <v>85015104</v>
          </cell>
          <cell r="F86">
            <v>1854198</v>
          </cell>
          <cell r="I86" t="str">
            <v>123-127</v>
          </cell>
          <cell r="J86" t="str">
            <v>LC45_LC46</v>
          </cell>
          <cell r="K86" t="str">
            <v>S6_120</v>
          </cell>
          <cell r="L86" t="str">
            <v>S1.45 - F1.50</v>
          </cell>
          <cell r="S86">
            <v>180.19</v>
          </cell>
          <cell r="T86">
            <v>182.71</v>
          </cell>
          <cell r="U86">
            <v>2.52</v>
          </cell>
          <cell r="V86">
            <v>5.52</v>
          </cell>
        </row>
        <row r="87">
          <cell r="I87" t="str">
            <v/>
          </cell>
          <cell r="J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</row>
        <row r="88">
          <cell r="B88" t="str">
            <v>CCC24</v>
          </cell>
          <cell r="C88">
            <v>85015104</v>
          </cell>
          <cell r="F88">
            <v>1851896</v>
          </cell>
          <cell r="H88" t="str">
            <v>domestic thermal</v>
          </cell>
          <cell r="I88" t="str">
            <v>002-029</v>
          </cell>
          <cell r="J88" t="str">
            <v>BNU1_BNU2</v>
          </cell>
          <cell r="K88" t="str">
            <v>S6_120</v>
          </cell>
          <cell r="L88" t="str">
            <v>S1.50 - F1.90</v>
          </cell>
          <cell r="S88">
            <v>12.66</v>
          </cell>
          <cell r="T88">
            <v>27.38</v>
          </cell>
          <cell r="U88">
            <v>14.719999999999999</v>
          </cell>
          <cell r="V88">
            <v>14.719999999999999</v>
          </cell>
        </row>
        <row r="89">
          <cell r="B89" t="str">
            <v>CCC25</v>
          </cell>
          <cell r="C89">
            <v>85015104</v>
          </cell>
          <cell r="F89">
            <v>1851897</v>
          </cell>
          <cell r="I89" t="str">
            <v>032-049</v>
          </cell>
          <cell r="J89" t="str">
            <v>BNL1_BNL2</v>
          </cell>
          <cell r="K89" t="str">
            <v>S6_120</v>
          </cell>
          <cell r="L89" t="str">
            <v>S1.50 - F1.90</v>
          </cell>
          <cell r="S89">
            <v>75.59</v>
          </cell>
          <cell r="T89">
            <v>87.8</v>
          </cell>
          <cell r="U89">
            <v>11.629999999999995</v>
          </cell>
          <cell r="V89">
            <v>12.209999999999994</v>
          </cell>
        </row>
        <row r="90">
          <cell r="B90" t="str">
            <v>CCC26</v>
          </cell>
          <cell r="C90">
            <v>85015104</v>
          </cell>
          <cell r="F90">
            <v>1851898</v>
          </cell>
          <cell r="I90" t="str">
            <v>050-069</v>
          </cell>
          <cell r="J90" t="str">
            <v>BNL2_BNL3</v>
          </cell>
          <cell r="K90" t="str">
            <v>S6_120</v>
          </cell>
          <cell r="L90" t="str">
            <v>S1.50 - F1.90</v>
          </cell>
          <cell r="S90">
            <v>87.85</v>
          </cell>
          <cell r="T90">
            <v>99.25</v>
          </cell>
          <cell r="U90">
            <v>11.210000000000008</v>
          </cell>
          <cell r="V90">
            <v>11.400000000000006</v>
          </cell>
        </row>
        <row r="91">
          <cell r="B91" t="str">
            <v>CCC27</v>
          </cell>
          <cell r="C91">
            <v>85015104</v>
          </cell>
          <cell r="F91">
            <v>1851899</v>
          </cell>
          <cell r="I91" t="str">
            <v>072-075</v>
          </cell>
          <cell r="J91" t="str">
            <v>BR</v>
          </cell>
          <cell r="K91" t="str">
            <v>S6_120</v>
          </cell>
          <cell r="L91" t="str">
            <v>S1.50 - F1.90</v>
          </cell>
          <cell r="S91">
            <v>116.5</v>
          </cell>
          <cell r="T91">
            <v>119.03</v>
          </cell>
          <cell r="U91">
            <v>2.5300000000000011</v>
          </cell>
          <cell r="V91">
            <v>2.5300000000000011</v>
          </cell>
        </row>
        <row r="92">
          <cell r="B92" t="str">
            <v>CCC28</v>
          </cell>
          <cell r="C92">
            <v>85015104</v>
          </cell>
          <cell r="F92">
            <v>1851900</v>
          </cell>
          <cell r="I92" t="str">
            <v>078-084</v>
          </cell>
          <cell r="J92" t="str">
            <v>UCT</v>
          </cell>
          <cell r="K92" t="str">
            <v>S6_120</v>
          </cell>
          <cell r="L92" t="str">
            <v>S1.50 - F1.90</v>
          </cell>
          <cell r="S92">
            <v>150.44</v>
          </cell>
          <cell r="T92">
            <v>154.97999999999999</v>
          </cell>
          <cell r="U92">
            <v>4.539999999999992</v>
          </cell>
          <cell r="V92">
            <v>4.539999999999992</v>
          </cell>
        </row>
        <row r="93">
          <cell r="B93" t="str">
            <v>CCC29</v>
          </cell>
          <cell r="C93">
            <v>85015104</v>
          </cell>
          <cell r="F93">
            <v>1851901</v>
          </cell>
          <cell r="I93" t="str">
            <v>085-093</v>
          </cell>
          <cell r="J93" t="str">
            <v>UCB</v>
          </cell>
          <cell r="K93" t="str">
            <v>S6_120</v>
          </cell>
          <cell r="L93" t="str">
            <v>S1.50 - F1.90</v>
          </cell>
          <cell r="S93">
            <v>154.97999999999999</v>
          </cell>
          <cell r="T93">
            <v>162.47999999999999</v>
          </cell>
          <cell r="U93" t="str">
            <v>7.50</v>
          </cell>
          <cell r="V93">
            <v>7.5</v>
          </cell>
        </row>
        <row r="94">
          <cell r="B94" t="str">
            <v>CCC30</v>
          </cell>
          <cell r="C94">
            <v>85015104</v>
          </cell>
          <cell r="F94">
            <v>1851902</v>
          </cell>
          <cell r="I94" t="str">
            <v>094-102</v>
          </cell>
          <cell r="J94" t="str">
            <v>UCB</v>
          </cell>
          <cell r="K94" t="str">
            <v>S6_120</v>
          </cell>
          <cell r="L94" t="str">
            <v>S1.50 - F1.90</v>
          </cell>
          <cell r="S94">
            <v>162.47999999999999</v>
          </cell>
          <cell r="T94">
            <v>170.02</v>
          </cell>
          <cell r="U94">
            <v>7.4500000000000455</v>
          </cell>
          <cell r="V94">
            <v>7.5400000000000205</v>
          </cell>
        </row>
        <row r="95">
          <cell r="B95" t="str">
            <v>CCC31</v>
          </cell>
          <cell r="C95">
            <v>85015104</v>
          </cell>
          <cell r="F95">
            <v>1851903</v>
          </cell>
          <cell r="I95" t="str">
            <v>106-109</v>
          </cell>
          <cell r="J95" t="str">
            <v>MCM</v>
          </cell>
          <cell r="K95" t="str">
            <v>S6_120</v>
          </cell>
          <cell r="L95" t="str">
            <v>S1.50 - F1.90</v>
          </cell>
          <cell r="S95">
            <v>171.73</v>
          </cell>
          <cell r="T95">
            <v>174.14</v>
          </cell>
          <cell r="U95">
            <v>2.4099999999999966</v>
          </cell>
          <cell r="V95">
            <v>2.4099999999999966</v>
          </cell>
        </row>
        <row r="96">
          <cell r="B96" t="str">
            <v>CCC32</v>
          </cell>
          <cell r="C96">
            <v>85015104</v>
          </cell>
          <cell r="F96">
            <v>1851904</v>
          </cell>
          <cell r="I96" t="str">
            <v>112-122</v>
          </cell>
          <cell r="J96" t="str">
            <v>LCUT_LCUB</v>
          </cell>
          <cell r="K96" t="str">
            <v>S6_120</v>
          </cell>
          <cell r="L96" t="str">
            <v>S1.50 - F1.90</v>
          </cell>
          <cell r="S96">
            <v>175.13</v>
          </cell>
          <cell r="T96">
            <v>180.19</v>
          </cell>
          <cell r="U96">
            <v>5.0099999999999909</v>
          </cell>
          <cell r="V96">
            <v>5.0600000000000023</v>
          </cell>
        </row>
        <row r="97">
          <cell r="B97" t="str">
            <v>CCC33</v>
          </cell>
          <cell r="C97">
            <v>85015104</v>
          </cell>
          <cell r="F97">
            <v>1851905</v>
          </cell>
          <cell r="I97" t="str">
            <v>123-127</v>
          </cell>
          <cell r="J97" t="str">
            <v>LC45_LC46</v>
          </cell>
          <cell r="K97" t="str">
            <v>S6_120</v>
          </cell>
          <cell r="L97" t="str">
            <v>S1.50 - F1.90</v>
          </cell>
          <cell r="S97">
            <v>180.19</v>
          </cell>
          <cell r="T97">
            <v>182.71</v>
          </cell>
          <cell r="U97">
            <v>2.5200000000000102</v>
          </cell>
          <cell r="V97">
            <v>2.5200000000000102</v>
          </cell>
        </row>
        <row r="98">
          <cell r="B98" t="str">
            <v>CCC34</v>
          </cell>
          <cell r="C98">
            <v>85015104</v>
          </cell>
          <cell r="I98" t="str">
            <v/>
          </cell>
          <cell r="J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</row>
        <row r="99">
          <cell r="I99" t="str">
            <v/>
          </cell>
          <cell r="J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</row>
      </sheetData>
      <sheetData sheetId="16"/>
      <sheetData sheetId="17">
        <row r="175">
          <cell r="A175" t="e">
            <v>#N/A</v>
          </cell>
          <cell r="B175" t="str">
            <v>FS01F1</v>
          </cell>
          <cell r="C175">
            <v>0</v>
          </cell>
          <cell r="D175">
            <v>0</v>
          </cell>
          <cell r="E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P175" t="e">
            <v>#N/A</v>
          </cell>
          <cell r="Q175" t="e">
            <v>#N/A</v>
          </cell>
          <cell r="R175" t="e">
            <v>#N/A</v>
          </cell>
          <cell r="S175" t="e">
            <v>#N/A</v>
          </cell>
          <cell r="T175" t="e">
            <v>#N/A</v>
          </cell>
          <cell r="U175" t="e">
            <v>#N/A</v>
          </cell>
          <cell r="V175" t="e">
            <v>#N/A</v>
          </cell>
          <cell r="W175" t="e">
            <v>#N/A</v>
          </cell>
          <cell r="X175" t="e">
            <v>#N/A</v>
          </cell>
          <cell r="Y175" t="e">
            <v>#N/A</v>
          </cell>
          <cell r="Z175" t="e">
            <v>#N/A</v>
          </cell>
          <cell r="AA175" t="e">
            <v>#N/A</v>
          </cell>
          <cell r="AB175" t="e">
            <v>#N/A</v>
          </cell>
          <cell r="AC175" t="e">
            <v>#N/A</v>
          </cell>
          <cell r="AD175" t="e">
            <v>#N/A</v>
          </cell>
          <cell r="AE175" t="e">
            <v>#N/A</v>
          </cell>
          <cell r="AF175" t="e">
            <v>#N/A</v>
          </cell>
          <cell r="AG175" t="e">
            <v>#N/A</v>
          </cell>
        </row>
        <row r="176">
          <cell r="A176" t="e">
            <v>#N/A</v>
          </cell>
          <cell r="B176" t="str">
            <v>FS01F2</v>
          </cell>
          <cell r="C176">
            <v>0</v>
          </cell>
          <cell r="D176">
            <v>0</v>
          </cell>
          <cell r="E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</row>
        <row r="177">
          <cell r="A177" t="e">
            <v>#N/A</v>
          </cell>
          <cell r="B177" t="str">
            <v>FS01F3</v>
          </cell>
          <cell r="C177">
            <v>0</v>
          </cell>
          <cell r="D177">
            <v>0</v>
          </cell>
          <cell r="E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</row>
        <row r="178">
          <cell r="A178" t="e">
            <v>#N/A</v>
          </cell>
          <cell r="B178" t="str">
            <v>FS01F4</v>
          </cell>
          <cell r="C178">
            <v>0</v>
          </cell>
          <cell r="D178">
            <v>0</v>
          </cell>
          <cell r="E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</row>
        <row r="179">
          <cell r="A179" t="e">
            <v>#N/A</v>
          </cell>
          <cell r="B179" t="str">
            <v>FS01F5</v>
          </cell>
          <cell r="C179">
            <v>0</v>
          </cell>
          <cell r="D179">
            <v>0</v>
          </cell>
          <cell r="E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</row>
        <row r="180">
          <cell r="A180" t="e">
            <v>#N/A</v>
          </cell>
          <cell r="B180" t="str">
            <v>FS01F6</v>
          </cell>
          <cell r="C180">
            <v>0</v>
          </cell>
          <cell r="D180">
            <v>0</v>
          </cell>
          <cell r="E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</row>
        <row r="181">
          <cell r="A181" t="e">
            <v>#N/A</v>
          </cell>
          <cell r="B181" t="str">
            <v>FS01F7</v>
          </cell>
          <cell r="C181">
            <v>0</v>
          </cell>
          <cell r="D181">
            <v>0</v>
          </cell>
          <cell r="E181">
            <v>0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</row>
        <row r="182">
          <cell r="A182" t="e">
            <v>#N/A</v>
          </cell>
          <cell r="B182" t="str">
            <v>FS01F8</v>
          </cell>
          <cell r="C182">
            <v>0</v>
          </cell>
          <cell r="D182">
            <v>0</v>
          </cell>
          <cell r="E182">
            <v>0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</row>
        <row r="183">
          <cell r="A183" t="e">
            <v>#N/A</v>
          </cell>
          <cell r="B183" t="str">
            <v>FS01F9</v>
          </cell>
          <cell r="C183">
            <v>0</v>
          </cell>
          <cell r="D183">
            <v>0</v>
          </cell>
          <cell r="E183">
            <v>0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</row>
        <row r="184">
          <cell r="A184" t="e">
            <v>#N/A</v>
          </cell>
          <cell r="B184" t="str">
            <v>FS01F10</v>
          </cell>
          <cell r="C184">
            <v>0</v>
          </cell>
          <cell r="D184">
            <v>0</v>
          </cell>
          <cell r="E184">
            <v>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</row>
        <row r="185">
          <cell r="A185" t="e">
            <v>#N/A</v>
          </cell>
          <cell r="B185" t="str">
            <v>FS01F11</v>
          </cell>
          <cell r="C185">
            <v>0</v>
          </cell>
          <cell r="D185">
            <v>0</v>
          </cell>
          <cell r="E185">
            <v>0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</row>
        <row r="186">
          <cell r="A186" t="e">
            <v>#N/A</v>
          </cell>
          <cell r="B186" t="str">
            <v>FS01F12</v>
          </cell>
          <cell r="C186">
            <v>0</v>
          </cell>
          <cell r="D186">
            <v>0</v>
          </cell>
          <cell r="E186">
            <v>0</v>
          </cell>
          <cell r="F186" t="e">
            <v>#N/A</v>
          </cell>
          <cell r="G186" t="e">
            <v>#N/A</v>
          </cell>
          <cell r="H186" t="e">
            <v>#N/A</v>
          </cell>
          <cell r="I186" t="e">
            <v>#N/A</v>
          </cell>
          <cell r="J186" t="e">
            <v>#N/A</v>
          </cell>
          <cell r="K186" t="e">
            <v>#N/A</v>
          </cell>
          <cell r="L186" t="e">
            <v>#N/A</v>
          </cell>
          <cell r="M186" t="e">
            <v>#N/A</v>
          </cell>
          <cell r="N186" t="e">
            <v>#N/A</v>
          </cell>
          <cell r="O186" t="e">
            <v>#N/A</v>
          </cell>
          <cell r="P186" t="e">
            <v>#N/A</v>
          </cell>
          <cell r="Q186" t="e">
            <v>#N/A</v>
          </cell>
          <cell r="R186" t="e">
            <v>#N/A</v>
          </cell>
          <cell r="S186" t="e">
            <v>#N/A</v>
          </cell>
          <cell r="T186" t="e">
            <v>#N/A</v>
          </cell>
          <cell r="U186" t="e">
            <v>#N/A</v>
          </cell>
          <cell r="V186" t="e">
            <v>#N/A</v>
          </cell>
          <cell r="W186" t="e">
            <v>#N/A</v>
          </cell>
          <cell r="X186" t="e">
            <v>#N/A</v>
          </cell>
          <cell r="Y186" t="e">
            <v>#N/A</v>
          </cell>
          <cell r="Z186" t="e">
            <v>#N/A</v>
          </cell>
          <cell r="AA186" t="e">
            <v>#N/A</v>
          </cell>
          <cell r="AB186" t="e">
            <v>#N/A</v>
          </cell>
          <cell r="AC186" t="e">
            <v>#N/A</v>
          </cell>
          <cell r="AD186" t="e">
            <v>#N/A</v>
          </cell>
          <cell r="AE186" t="e">
            <v>#N/A</v>
          </cell>
          <cell r="AF186" t="e">
            <v>#N/A</v>
          </cell>
          <cell r="AG186" t="e">
            <v>#N/A</v>
          </cell>
        </row>
        <row r="187">
          <cell r="AD187" t="e">
            <v>#N/A</v>
          </cell>
          <cell r="AE187" t="e">
            <v>#N/A</v>
          </cell>
          <cell r="AF187" t="str">
            <v/>
          </cell>
        </row>
        <row r="188">
          <cell r="AE188" t="str">
            <v/>
          </cell>
          <cell r="AF188" t="str">
            <v/>
          </cell>
        </row>
        <row r="190">
          <cell r="A190" t="e">
            <v>#N/A</v>
          </cell>
          <cell r="B190" t="str">
            <v>FS02F1</v>
          </cell>
          <cell r="C190">
            <v>0</v>
          </cell>
          <cell r="D190">
            <v>0</v>
          </cell>
          <cell r="E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P190" t="e">
            <v>#N/A</v>
          </cell>
          <cell r="Q190" t="e">
            <v>#N/A</v>
          </cell>
          <cell r="R190" t="e">
            <v>#N/A</v>
          </cell>
          <cell r="S190" t="e">
            <v>#N/A</v>
          </cell>
          <cell r="T190" t="e">
            <v>#N/A</v>
          </cell>
          <cell r="U190" t="e">
            <v>#N/A</v>
          </cell>
          <cell r="V190" t="e">
            <v>#N/A</v>
          </cell>
          <cell r="W190" t="e">
            <v>#N/A</v>
          </cell>
          <cell r="X190" t="e">
            <v>#N/A</v>
          </cell>
          <cell r="Y190" t="e">
            <v>#N/A</v>
          </cell>
          <cell r="Z190" t="e">
            <v>#N/A</v>
          </cell>
          <cell r="AA190" t="e">
            <v>#N/A</v>
          </cell>
          <cell r="AB190" t="e">
            <v>#N/A</v>
          </cell>
          <cell r="AC190" t="e">
            <v>#N/A</v>
          </cell>
          <cell r="AD190" t="e">
            <v>#N/A</v>
          </cell>
          <cell r="AE190" t="e">
            <v>#N/A</v>
          </cell>
          <cell r="AF190" t="e">
            <v>#N/A</v>
          </cell>
          <cell r="AG190" t="e">
            <v>#N/A</v>
          </cell>
        </row>
        <row r="191">
          <cell r="A191" t="e">
            <v>#N/A</v>
          </cell>
          <cell r="B191" t="str">
            <v>FS02F2</v>
          </cell>
          <cell r="C191">
            <v>0</v>
          </cell>
          <cell r="D191">
            <v>0</v>
          </cell>
          <cell r="E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</row>
        <row r="192">
          <cell r="A192" t="e">
            <v>#N/A</v>
          </cell>
          <cell r="B192" t="str">
            <v>FS02F3</v>
          </cell>
          <cell r="C192">
            <v>0</v>
          </cell>
          <cell r="D192">
            <v>0</v>
          </cell>
          <cell r="E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</row>
        <row r="193">
          <cell r="A193" t="e">
            <v>#N/A</v>
          </cell>
          <cell r="B193" t="str">
            <v>FS02F4</v>
          </cell>
          <cell r="C193">
            <v>0</v>
          </cell>
          <cell r="D193">
            <v>0</v>
          </cell>
          <cell r="E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</row>
        <row r="194">
          <cell r="A194" t="e">
            <v>#N/A</v>
          </cell>
          <cell r="B194" t="str">
            <v>FS02F5</v>
          </cell>
          <cell r="C194">
            <v>0</v>
          </cell>
          <cell r="D194">
            <v>0</v>
          </cell>
          <cell r="E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</row>
        <row r="195">
          <cell r="A195" t="e">
            <v>#N/A</v>
          </cell>
          <cell r="B195" t="str">
            <v>FS02F6</v>
          </cell>
          <cell r="C195">
            <v>0</v>
          </cell>
          <cell r="D195">
            <v>0</v>
          </cell>
          <cell r="E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</row>
        <row r="196">
          <cell r="A196" t="e">
            <v>#N/A</v>
          </cell>
          <cell r="B196" t="str">
            <v>FS02F7</v>
          </cell>
          <cell r="C196">
            <v>0</v>
          </cell>
          <cell r="D196">
            <v>0</v>
          </cell>
          <cell r="E196">
            <v>0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</row>
        <row r="197">
          <cell r="A197" t="e">
            <v>#N/A</v>
          </cell>
          <cell r="B197" t="str">
            <v>FS02F8</v>
          </cell>
          <cell r="C197">
            <v>0</v>
          </cell>
          <cell r="D197">
            <v>0</v>
          </cell>
          <cell r="E197">
            <v>0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</row>
        <row r="198">
          <cell r="A198" t="e">
            <v>#N/A</v>
          </cell>
          <cell r="B198" t="str">
            <v>FS02F9</v>
          </cell>
          <cell r="C198">
            <v>0</v>
          </cell>
          <cell r="D198">
            <v>0</v>
          </cell>
          <cell r="E198">
            <v>0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</row>
        <row r="199">
          <cell r="A199" t="e">
            <v>#N/A</v>
          </cell>
          <cell r="B199" t="str">
            <v>FS02F10</v>
          </cell>
          <cell r="C199">
            <v>0</v>
          </cell>
          <cell r="D199">
            <v>0</v>
          </cell>
          <cell r="E199">
            <v>0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</row>
        <row r="200">
          <cell r="A200" t="e">
            <v>#N/A</v>
          </cell>
          <cell r="B200" t="str">
            <v>FS02F11</v>
          </cell>
          <cell r="C200">
            <v>0</v>
          </cell>
          <cell r="D200">
            <v>0</v>
          </cell>
          <cell r="E200">
            <v>0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</row>
        <row r="201">
          <cell r="A201" t="e">
            <v>#N/A</v>
          </cell>
          <cell r="B201" t="str">
            <v>FS02F12</v>
          </cell>
          <cell r="C201">
            <v>0</v>
          </cell>
          <cell r="D201">
            <v>0</v>
          </cell>
          <cell r="E201">
            <v>0</v>
          </cell>
          <cell r="F201" t="e">
            <v>#N/A</v>
          </cell>
          <cell r="G201" t="e">
            <v>#N/A</v>
          </cell>
          <cell r="H201" t="e">
            <v>#N/A</v>
          </cell>
          <cell r="I201" t="e">
            <v>#N/A</v>
          </cell>
          <cell r="J201" t="e">
            <v>#N/A</v>
          </cell>
          <cell r="K201" t="e">
            <v>#N/A</v>
          </cell>
          <cell r="L201" t="e">
            <v>#N/A</v>
          </cell>
          <cell r="M201" t="e">
            <v>#N/A</v>
          </cell>
          <cell r="N201" t="e">
            <v>#N/A</v>
          </cell>
          <cell r="O201" t="e">
            <v>#N/A</v>
          </cell>
          <cell r="P201" t="e">
            <v>#N/A</v>
          </cell>
          <cell r="Q201" t="e">
            <v>#N/A</v>
          </cell>
          <cell r="R201" t="e">
            <v>#N/A</v>
          </cell>
          <cell r="S201" t="e">
            <v>#N/A</v>
          </cell>
          <cell r="T201" t="e">
            <v>#N/A</v>
          </cell>
          <cell r="U201" t="e">
            <v>#N/A</v>
          </cell>
          <cell r="V201" t="e">
            <v>#N/A</v>
          </cell>
          <cell r="W201" t="e">
            <v>#N/A</v>
          </cell>
          <cell r="X201" t="e">
            <v>#N/A</v>
          </cell>
          <cell r="Y201" t="e">
            <v>#N/A</v>
          </cell>
          <cell r="Z201" t="e">
            <v>#N/A</v>
          </cell>
          <cell r="AA201" t="e">
            <v>#N/A</v>
          </cell>
          <cell r="AB201" t="e">
            <v>#N/A</v>
          </cell>
          <cell r="AC201" t="e">
            <v>#N/A</v>
          </cell>
          <cell r="AD201" t="e">
            <v>#N/A</v>
          </cell>
          <cell r="AE201" t="e">
            <v>#N/A</v>
          </cell>
          <cell r="AF201" t="e">
            <v>#N/A</v>
          </cell>
          <cell r="AG201" t="e">
            <v>#N/A</v>
          </cell>
        </row>
        <row r="202">
          <cell r="AD202" t="e">
            <v>#N/A</v>
          </cell>
          <cell r="AE202" t="e">
            <v>#N/A</v>
          </cell>
          <cell r="AF202" t="str">
            <v/>
          </cell>
        </row>
        <row r="203">
          <cell r="AF203" t="str">
            <v/>
          </cell>
        </row>
        <row r="204">
          <cell r="A204" t="e">
            <v>#N/A</v>
          </cell>
          <cell r="B204" t="str">
            <v>FS03F1</v>
          </cell>
          <cell r="C204">
            <v>0</v>
          </cell>
          <cell r="D204">
            <v>0</v>
          </cell>
          <cell r="E204">
            <v>0</v>
          </cell>
          <cell r="F204" t="e">
            <v>#N/A</v>
          </cell>
          <cell r="G204" t="e">
            <v>#N/A</v>
          </cell>
          <cell r="H204" t="e">
            <v>#N/A</v>
          </cell>
          <cell r="I204" t="e">
            <v>#N/A</v>
          </cell>
          <cell r="J204" t="e">
            <v>#N/A</v>
          </cell>
          <cell r="K204" t="e">
            <v>#N/A</v>
          </cell>
          <cell r="L204" t="e">
            <v>#N/A</v>
          </cell>
          <cell r="M204" t="e">
            <v>#N/A</v>
          </cell>
          <cell r="N204" t="e">
            <v>#N/A</v>
          </cell>
          <cell r="O204" t="e">
            <v>#N/A</v>
          </cell>
          <cell r="P204" t="e">
            <v>#N/A</v>
          </cell>
          <cell r="Q204" t="e">
            <v>#N/A</v>
          </cell>
          <cell r="R204" t="e">
            <v>#N/A</v>
          </cell>
          <cell r="S204" t="e">
            <v>#N/A</v>
          </cell>
          <cell r="T204" t="e">
            <v>#N/A</v>
          </cell>
          <cell r="U204" t="e">
            <v>#N/A</v>
          </cell>
          <cell r="V204" t="e">
            <v>#N/A</v>
          </cell>
          <cell r="W204" t="e">
            <v>#N/A</v>
          </cell>
          <cell r="X204" t="e">
            <v>#N/A</v>
          </cell>
          <cell r="Y204" t="e">
            <v>#N/A</v>
          </cell>
          <cell r="Z204" t="e">
            <v>#N/A</v>
          </cell>
          <cell r="AA204" t="e">
            <v>#N/A</v>
          </cell>
          <cell r="AB204" t="e">
            <v>#N/A</v>
          </cell>
          <cell r="AC204" t="e">
            <v>#N/A</v>
          </cell>
          <cell r="AD204" t="e">
            <v>#N/A</v>
          </cell>
          <cell r="AE204" t="e">
            <v>#N/A</v>
          </cell>
          <cell r="AF204" t="e">
            <v>#N/A</v>
          </cell>
          <cell r="AG204" t="e">
            <v>#N/A</v>
          </cell>
        </row>
        <row r="205">
          <cell r="A205" t="e">
            <v>#N/A</v>
          </cell>
          <cell r="B205" t="str">
            <v>FS03F2</v>
          </cell>
          <cell r="C205">
            <v>0</v>
          </cell>
          <cell r="D205">
            <v>0</v>
          </cell>
          <cell r="E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P205" t="e">
            <v>#N/A</v>
          </cell>
          <cell r="Q205" t="e">
            <v>#N/A</v>
          </cell>
          <cell r="R205" t="e">
            <v>#N/A</v>
          </cell>
          <cell r="S205" t="e">
            <v>#N/A</v>
          </cell>
          <cell r="T205" t="e">
            <v>#N/A</v>
          </cell>
          <cell r="U205" t="e">
            <v>#N/A</v>
          </cell>
          <cell r="V205" t="e">
            <v>#N/A</v>
          </cell>
          <cell r="W205" t="e">
            <v>#N/A</v>
          </cell>
          <cell r="X205" t="e">
            <v>#N/A</v>
          </cell>
          <cell r="Y205" t="e">
            <v>#N/A</v>
          </cell>
          <cell r="Z205" t="e">
            <v>#N/A</v>
          </cell>
          <cell r="AA205" t="e">
            <v>#N/A</v>
          </cell>
          <cell r="AB205" t="e">
            <v>#N/A</v>
          </cell>
          <cell r="AC205" t="e">
            <v>#N/A</v>
          </cell>
          <cell r="AD205" t="e">
            <v>#N/A</v>
          </cell>
          <cell r="AE205" t="e">
            <v>#N/A</v>
          </cell>
          <cell r="AF205" t="e">
            <v>#N/A</v>
          </cell>
          <cell r="AG205" t="e">
            <v>#N/A</v>
          </cell>
        </row>
        <row r="206">
          <cell r="A206" t="e">
            <v>#N/A</v>
          </cell>
          <cell r="B206" t="str">
            <v>FS03F3</v>
          </cell>
          <cell r="C206">
            <v>0</v>
          </cell>
          <cell r="D206">
            <v>0</v>
          </cell>
          <cell r="E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</row>
        <row r="207">
          <cell r="A207" t="e">
            <v>#N/A</v>
          </cell>
          <cell r="B207" t="str">
            <v>FS03F4</v>
          </cell>
          <cell r="C207">
            <v>0</v>
          </cell>
          <cell r="D207">
            <v>0</v>
          </cell>
          <cell r="E207">
            <v>0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</row>
        <row r="208">
          <cell r="A208" t="e">
            <v>#N/A</v>
          </cell>
          <cell r="B208" t="str">
            <v>FS03F5</v>
          </cell>
          <cell r="C208">
            <v>0</v>
          </cell>
          <cell r="D208">
            <v>0</v>
          </cell>
          <cell r="E208">
            <v>0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</row>
        <row r="209">
          <cell r="A209" t="e">
            <v>#N/A</v>
          </cell>
          <cell r="B209" t="str">
            <v>FS03F6</v>
          </cell>
          <cell r="C209">
            <v>0</v>
          </cell>
          <cell r="D209">
            <v>0</v>
          </cell>
          <cell r="E209">
            <v>0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</row>
        <row r="210">
          <cell r="A210" t="e">
            <v>#N/A</v>
          </cell>
          <cell r="B210" t="str">
            <v>FS03F7</v>
          </cell>
          <cell r="C210">
            <v>0</v>
          </cell>
          <cell r="D210">
            <v>0</v>
          </cell>
          <cell r="E210">
            <v>0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</row>
        <row r="211">
          <cell r="A211" t="e">
            <v>#N/A</v>
          </cell>
          <cell r="B211" t="str">
            <v>FS03F8</v>
          </cell>
          <cell r="C211">
            <v>0</v>
          </cell>
          <cell r="D211">
            <v>0</v>
          </cell>
          <cell r="E211">
            <v>0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</row>
        <row r="212">
          <cell r="A212" t="e">
            <v>#N/A</v>
          </cell>
          <cell r="B212" t="str">
            <v>FS03F9</v>
          </cell>
          <cell r="C212">
            <v>0</v>
          </cell>
          <cell r="D212">
            <v>0</v>
          </cell>
          <cell r="E212">
            <v>0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</row>
        <row r="213">
          <cell r="A213" t="e">
            <v>#N/A</v>
          </cell>
          <cell r="B213" t="str">
            <v>FS03F10</v>
          </cell>
          <cell r="C213">
            <v>0</v>
          </cell>
          <cell r="D213">
            <v>0</v>
          </cell>
          <cell r="E213">
            <v>0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</row>
        <row r="214">
          <cell r="A214" t="e">
            <v>#N/A</v>
          </cell>
          <cell r="B214" t="str">
            <v>FS03F11</v>
          </cell>
          <cell r="C214">
            <v>0</v>
          </cell>
          <cell r="D214">
            <v>0</v>
          </cell>
          <cell r="E214">
            <v>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</row>
        <row r="215">
          <cell r="A215" t="e">
            <v>#N/A</v>
          </cell>
          <cell r="B215" t="str">
            <v>FS03F12</v>
          </cell>
          <cell r="C215">
            <v>0</v>
          </cell>
          <cell r="D215">
            <v>0</v>
          </cell>
          <cell r="E215">
            <v>0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</row>
        <row r="216">
          <cell r="AD216" t="e">
            <v>#N/A</v>
          </cell>
          <cell r="AE216" t="e">
            <v>#N/A</v>
          </cell>
          <cell r="AF216" t="str">
            <v/>
          </cell>
        </row>
        <row r="217">
          <cell r="AE217" t="str">
            <v/>
          </cell>
          <cell r="AF217" t="str">
            <v/>
          </cell>
        </row>
        <row r="219">
          <cell r="A219" t="e">
            <v>#N/A</v>
          </cell>
          <cell r="B219" t="str">
            <v>FS04F1</v>
          </cell>
          <cell r="C219">
            <v>0</v>
          </cell>
          <cell r="D219">
            <v>0</v>
          </cell>
          <cell r="E219">
            <v>0</v>
          </cell>
          <cell r="F219" t="e">
            <v>#N/A</v>
          </cell>
          <cell r="G219" t="e">
            <v>#N/A</v>
          </cell>
          <cell r="H219" t="e">
            <v>#N/A</v>
          </cell>
          <cell r="I219" t="e">
            <v>#N/A</v>
          </cell>
          <cell r="J219" t="e">
            <v>#N/A</v>
          </cell>
          <cell r="K219" t="e">
            <v>#N/A</v>
          </cell>
          <cell r="L219" t="e">
            <v>#N/A</v>
          </cell>
          <cell r="M219" t="e">
            <v>#N/A</v>
          </cell>
          <cell r="N219" t="e">
            <v>#N/A</v>
          </cell>
          <cell r="O219" t="e">
            <v>#N/A</v>
          </cell>
          <cell r="P219" t="e">
            <v>#N/A</v>
          </cell>
          <cell r="Q219" t="e">
            <v>#N/A</v>
          </cell>
          <cell r="R219" t="e">
            <v>#N/A</v>
          </cell>
          <cell r="S219" t="e">
            <v>#N/A</v>
          </cell>
          <cell r="T219" t="e">
            <v>#N/A</v>
          </cell>
          <cell r="U219" t="e">
            <v>#N/A</v>
          </cell>
          <cell r="V219" t="e">
            <v>#N/A</v>
          </cell>
          <cell r="W219" t="e">
            <v>#N/A</v>
          </cell>
          <cell r="X219" t="e">
            <v>#N/A</v>
          </cell>
          <cell r="Y219" t="e">
            <v>#N/A</v>
          </cell>
          <cell r="Z219" t="e">
            <v>#N/A</v>
          </cell>
          <cell r="AA219" t="e">
            <v>#N/A</v>
          </cell>
          <cell r="AB219" t="e">
            <v>#N/A</v>
          </cell>
          <cell r="AC219" t="e">
            <v>#N/A</v>
          </cell>
          <cell r="AD219" t="e">
            <v>#N/A</v>
          </cell>
          <cell r="AE219" t="e">
            <v>#N/A</v>
          </cell>
          <cell r="AF219" t="e">
            <v>#N/A</v>
          </cell>
          <cell r="AG219" t="e">
            <v>#N/A</v>
          </cell>
        </row>
        <row r="220">
          <cell r="A220" t="e">
            <v>#N/A</v>
          </cell>
          <cell r="B220" t="str">
            <v>FS04F2</v>
          </cell>
          <cell r="C220">
            <v>0</v>
          </cell>
          <cell r="D220">
            <v>0</v>
          </cell>
          <cell r="E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P220" t="e">
            <v>#N/A</v>
          </cell>
          <cell r="Q220" t="e">
            <v>#N/A</v>
          </cell>
          <cell r="R220" t="e">
            <v>#N/A</v>
          </cell>
          <cell r="S220" t="e">
            <v>#N/A</v>
          </cell>
          <cell r="T220" t="e">
            <v>#N/A</v>
          </cell>
          <cell r="U220" t="e">
            <v>#N/A</v>
          </cell>
          <cell r="V220" t="e">
            <v>#N/A</v>
          </cell>
          <cell r="W220" t="e">
            <v>#N/A</v>
          </cell>
          <cell r="X220" t="e">
            <v>#N/A</v>
          </cell>
          <cell r="Y220" t="e">
            <v>#N/A</v>
          </cell>
          <cell r="Z220" t="e">
            <v>#N/A</v>
          </cell>
          <cell r="AA220" t="e">
            <v>#N/A</v>
          </cell>
          <cell r="AB220" t="e">
            <v>#N/A</v>
          </cell>
          <cell r="AC220" t="e">
            <v>#N/A</v>
          </cell>
          <cell r="AD220" t="e">
            <v>#N/A</v>
          </cell>
          <cell r="AE220" t="e">
            <v>#N/A</v>
          </cell>
          <cell r="AF220" t="e">
            <v>#N/A</v>
          </cell>
          <cell r="AG220" t="e">
            <v>#N/A</v>
          </cell>
        </row>
        <row r="221">
          <cell r="A221" t="e">
            <v>#N/A</v>
          </cell>
          <cell r="B221" t="str">
            <v>FS04F3</v>
          </cell>
          <cell r="C221">
            <v>0</v>
          </cell>
          <cell r="D221">
            <v>0</v>
          </cell>
          <cell r="E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</row>
        <row r="222">
          <cell r="A222" t="e">
            <v>#N/A</v>
          </cell>
          <cell r="B222" t="str">
            <v>FS04F4</v>
          </cell>
          <cell r="C222">
            <v>0</v>
          </cell>
          <cell r="D222">
            <v>0</v>
          </cell>
          <cell r="E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</row>
        <row r="223">
          <cell r="A223" t="e">
            <v>#N/A</v>
          </cell>
          <cell r="B223" t="str">
            <v>FS04F5</v>
          </cell>
          <cell r="C223">
            <v>0</v>
          </cell>
          <cell r="D223">
            <v>0</v>
          </cell>
          <cell r="E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</row>
        <row r="224">
          <cell r="A224" t="e">
            <v>#N/A</v>
          </cell>
          <cell r="B224" t="str">
            <v>FS04F6</v>
          </cell>
          <cell r="C224">
            <v>0</v>
          </cell>
          <cell r="D224">
            <v>0</v>
          </cell>
          <cell r="E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</row>
        <row r="225">
          <cell r="A225" t="e">
            <v>#N/A</v>
          </cell>
          <cell r="B225" t="str">
            <v>FS04F7</v>
          </cell>
          <cell r="C225">
            <v>0</v>
          </cell>
          <cell r="D225">
            <v>0</v>
          </cell>
          <cell r="E225">
            <v>0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</row>
        <row r="226">
          <cell r="A226" t="e">
            <v>#N/A</v>
          </cell>
          <cell r="B226" t="str">
            <v>FS04F8</v>
          </cell>
          <cell r="C226">
            <v>0</v>
          </cell>
          <cell r="D226">
            <v>0</v>
          </cell>
          <cell r="E226">
            <v>0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</row>
        <row r="227">
          <cell r="A227" t="e">
            <v>#N/A</v>
          </cell>
          <cell r="B227" t="str">
            <v>FS04F9</v>
          </cell>
          <cell r="C227">
            <v>0</v>
          </cell>
          <cell r="D227">
            <v>0</v>
          </cell>
          <cell r="E227">
            <v>0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</row>
        <row r="228">
          <cell r="A228" t="e">
            <v>#N/A</v>
          </cell>
          <cell r="B228" t="str">
            <v>FS04F10</v>
          </cell>
          <cell r="C228">
            <v>0</v>
          </cell>
          <cell r="D228">
            <v>0</v>
          </cell>
          <cell r="E228">
            <v>0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</row>
        <row r="229">
          <cell r="A229" t="e">
            <v>#N/A</v>
          </cell>
          <cell r="B229" t="str">
            <v>FS04F11</v>
          </cell>
          <cell r="C229">
            <v>0</v>
          </cell>
          <cell r="D229">
            <v>0</v>
          </cell>
          <cell r="E229">
            <v>0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</row>
        <row r="230">
          <cell r="A230" t="e">
            <v>#N/A</v>
          </cell>
          <cell r="B230" t="str">
            <v>FS04F12</v>
          </cell>
          <cell r="C230">
            <v>0</v>
          </cell>
          <cell r="D230">
            <v>0</v>
          </cell>
          <cell r="E230">
            <v>0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</row>
        <row r="231">
          <cell r="AD231" t="e">
            <v>#N/A</v>
          </cell>
          <cell r="AE231" t="e">
            <v>#N/A</v>
          </cell>
          <cell r="AF231" t="str">
            <v/>
          </cell>
        </row>
        <row r="232">
          <cell r="AE232" t="str">
            <v/>
          </cell>
          <cell r="AF232" t="str">
            <v/>
          </cell>
        </row>
        <row r="234">
          <cell r="A234" t="e">
            <v>#N/A</v>
          </cell>
          <cell r="B234" t="str">
            <v>FS05F1</v>
          </cell>
          <cell r="C234" t="str">
            <v>losses on FLOAT Sinks and Froth</v>
          </cell>
          <cell r="D234">
            <v>0</v>
          </cell>
          <cell r="E234">
            <v>0</v>
          </cell>
          <cell r="F234" t="e">
            <v>#N/A</v>
          </cell>
          <cell r="G234" t="e">
            <v>#N/A</v>
          </cell>
          <cell r="H234" t="e">
            <v>#N/A</v>
          </cell>
          <cell r="I234" t="e">
            <v>#N/A</v>
          </cell>
          <cell r="J234" t="e">
            <v>#N/A</v>
          </cell>
          <cell r="K234" t="e">
            <v>#N/A</v>
          </cell>
          <cell r="L234" t="e">
            <v>#N/A</v>
          </cell>
          <cell r="M234" t="e">
            <v>#N/A</v>
          </cell>
          <cell r="N234" t="e">
            <v>#N/A</v>
          </cell>
          <cell r="O234" t="e">
            <v>#N/A</v>
          </cell>
          <cell r="P234" t="e">
            <v>#N/A</v>
          </cell>
          <cell r="Q234" t="e">
            <v>#N/A</v>
          </cell>
          <cell r="R234" t="e">
            <v>#N/A</v>
          </cell>
          <cell r="S234" t="e">
            <v>#N/A</v>
          </cell>
          <cell r="T234" t="e">
            <v>#N/A</v>
          </cell>
          <cell r="U234" t="e">
            <v>#N/A</v>
          </cell>
          <cell r="V234" t="e">
            <v>#N/A</v>
          </cell>
          <cell r="W234" t="e">
            <v>#N/A</v>
          </cell>
          <cell r="X234" t="e">
            <v>#N/A</v>
          </cell>
          <cell r="Y234" t="e">
            <v>#N/A</v>
          </cell>
          <cell r="Z234" t="e">
            <v>#N/A</v>
          </cell>
          <cell r="AA234" t="e">
            <v>#N/A</v>
          </cell>
          <cell r="AB234" t="e">
            <v>#N/A</v>
          </cell>
          <cell r="AC234" t="e">
            <v>#N/A</v>
          </cell>
          <cell r="AD234" t="e">
            <v>#N/A</v>
          </cell>
          <cell r="AE234" t="e">
            <v>#N/A</v>
          </cell>
          <cell r="AF234" t="e">
            <v>#N/A</v>
          </cell>
          <cell r="AG234" t="e">
            <v>#N/A</v>
          </cell>
        </row>
        <row r="235">
          <cell r="A235" t="e">
            <v>#N/A</v>
          </cell>
          <cell r="B235" t="str">
            <v>FS05F2</v>
          </cell>
          <cell r="C235" t="str">
            <v>losses on sizings</v>
          </cell>
          <cell r="D235">
            <v>0</v>
          </cell>
          <cell r="E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P235" t="e">
            <v>#N/A</v>
          </cell>
          <cell r="Q235" t="e">
            <v>#N/A</v>
          </cell>
          <cell r="R235" t="e">
            <v>#N/A</v>
          </cell>
          <cell r="S235" t="e">
            <v>#N/A</v>
          </cell>
          <cell r="T235" t="e">
            <v>#N/A</v>
          </cell>
          <cell r="U235" t="e">
            <v>#N/A</v>
          </cell>
          <cell r="V235" t="e">
            <v>#N/A</v>
          </cell>
          <cell r="W235" t="e">
            <v>#N/A</v>
          </cell>
          <cell r="X235" t="e">
            <v>#N/A</v>
          </cell>
          <cell r="Y235" t="e">
            <v>#N/A</v>
          </cell>
          <cell r="Z235" t="e">
            <v>#N/A</v>
          </cell>
          <cell r="AA235" t="e">
            <v>#N/A</v>
          </cell>
          <cell r="AB235" t="e">
            <v>#N/A</v>
          </cell>
          <cell r="AC235" t="e">
            <v>#N/A</v>
          </cell>
          <cell r="AD235" t="e">
            <v>#N/A</v>
          </cell>
          <cell r="AE235" t="e">
            <v>#N/A</v>
          </cell>
          <cell r="AF235" t="e">
            <v>#N/A</v>
          </cell>
          <cell r="AG235" t="e">
            <v>#N/A</v>
          </cell>
        </row>
        <row r="236">
          <cell r="A236" t="e">
            <v>#N/A</v>
          </cell>
          <cell r="B236" t="str">
            <v>FS05F3</v>
          </cell>
          <cell r="C236" t="str">
            <v>Size and Float Sink Masses from PW</v>
          </cell>
          <cell r="D236">
            <v>0</v>
          </cell>
          <cell r="E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</row>
        <row r="237">
          <cell r="A237" t="e">
            <v>#N/A</v>
          </cell>
          <cell r="B237" t="str">
            <v>FS05F4</v>
          </cell>
          <cell r="C237" t="str">
            <v xml:space="preserve">Data entry Phos </v>
          </cell>
          <cell r="D237">
            <v>0</v>
          </cell>
          <cell r="E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</row>
        <row r="238">
          <cell r="A238" t="e">
            <v>#N/A</v>
          </cell>
          <cell r="B238" t="str">
            <v>FS05F5</v>
          </cell>
          <cell r="C238" t="str">
            <v>Data entry Cum CSN</v>
          </cell>
          <cell r="D238">
            <v>0</v>
          </cell>
          <cell r="E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</row>
        <row r="239">
          <cell r="A239" t="e">
            <v>#N/A</v>
          </cell>
          <cell r="B239" t="str">
            <v>FS05F6</v>
          </cell>
          <cell r="C239" t="str">
            <v>Rounding</v>
          </cell>
          <cell r="D239">
            <v>0</v>
          </cell>
          <cell r="E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</row>
        <row r="240">
          <cell r="A240" t="e">
            <v>#N/A</v>
          </cell>
          <cell r="B240" t="str">
            <v>FS05F7</v>
          </cell>
          <cell r="C240" t="str">
            <v>ADD Comments (confirmed analysis and combined Fractions)</v>
          </cell>
          <cell r="D240">
            <v>0</v>
          </cell>
          <cell r="E240">
            <v>0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</row>
        <row r="241">
          <cell r="A241" t="e">
            <v>#N/A</v>
          </cell>
          <cell r="B241" t="str">
            <v>FS05F8</v>
          </cell>
          <cell r="C241">
            <v>0</v>
          </cell>
          <cell r="D241">
            <v>0</v>
          </cell>
          <cell r="E241">
            <v>0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</row>
        <row r="242">
          <cell r="A242" t="e">
            <v>#N/A</v>
          </cell>
          <cell r="B242" t="str">
            <v>FS05F9</v>
          </cell>
          <cell r="C242">
            <v>0</v>
          </cell>
          <cell r="D242">
            <v>0</v>
          </cell>
          <cell r="E242">
            <v>0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</row>
        <row r="243">
          <cell r="A243" t="e">
            <v>#N/A</v>
          </cell>
          <cell r="B243" t="str">
            <v>FS05F10</v>
          </cell>
          <cell r="C243">
            <v>0</v>
          </cell>
          <cell r="D243">
            <v>0</v>
          </cell>
          <cell r="E243">
            <v>0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</row>
        <row r="244">
          <cell r="A244" t="e">
            <v>#N/A</v>
          </cell>
          <cell r="B244" t="str">
            <v>FS05F11</v>
          </cell>
          <cell r="C244">
            <v>0</v>
          </cell>
          <cell r="D244">
            <v>0</v>
          </cell>
          <cell r="E244">
            <v>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</row>
        <row r="245">
          <cell r="A245" t="e">
            <v>#N/A</v>
          </cell>
          <cell r="B245" t="str">
            <v>FS05F12</v>
          </cell>
          <cell r="C245">
            <v>0</v>
          </cell>
          <cell r="D245">
            <v>0</v>
          </cell>
          <cell r="E245">
            <v>0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</row>
        <row r="246">
          <cell r="AD246" t="e">
            <v>#N/A</v>
          </cell>
          <cell r="AE246" t="e">
            <v>#N/A</v>
          </cell>
          <cell r="AF246" t="str">
            <v/>
          </cell>
        </row>
        <row r="248">
          <cell r="A248" t="e">
            <v>#N/A</v>
          </cell>
          <cell r="B248" t="str">
            <v>FS06F1</v>
          </cell>
          <cell r="C248">
            <v>0</v>
          </cell>
          <cell r="D248">
            <v>0</v>
          </cell>
          <cell r="E248">
            <v>0</v>
          </cell>
          <cell r="F248" t="e">
            <v>#N/A</v>
          </cell>
          <cell r="G248" t="e">
            <v>#N/A</v>
          </cell>
          <cell r="H248" t="e">
            <v>#N/A</v>
          </cell>
          <cell r="I248" t="e">
            <v>#N/A</v>
          </cell>
          <cell r="J248" t="e">
            <v>#N/A</v>
          </cell>
          <cell r="K248" t="e">
            <v>#N/A</v>
          </cell>
          <cell r="L248" t="e">
            <v>#N/A</v>
          </cell>
          <cell r="M248" t="e">
            <v>#N/A</v>
          </cell>
          <cell r="N248" t="e">
            <v>#N/A</v>
          </cell>
          <cell r="O248" t="e">
            <v>#N/A</v>
          </cell>
          <cell r="P248" t="e">
            <v>#N/A</v>
          </cell>
          <cell r="Q248" t="e">
            <v>#N/A</v>
          </cell>
          <cell r="R248" t="e">
            <v>#N/A</v>
          </cell>
          <cell r="S248" t="e">
            <v>#N/A</v>
          </cell>
          <cell r="T248" t="e">
            <v>#N/A</v>
          </cell>
          <cell r="U248" t="e">
            <v>#N/A</v>
          </cell>
          <cell r="V248" t="e">
            <v>#N/A</v>
          </cell>
          <cell r="W248" t="e">
            <v>#N/A</v>
          </cell>
          <cell r="X248" t="e">
            <v>#N/A</v>
          </cell>
          <cell r="Y248" t="e">
            <v>#N/A</v>
          </cell>
          <cell r="Z248" t="e">
            <v>#N/A</v>
          </cell>
          <cell r="AA248" t="e">
            <v>#N/A</v>
          </cell>
          <cell r="AB248" t="e">
            <v>#N/A</v>
          </cell>
          <cell r="AC248" t="e">
            <v>#N/A</v>
          </cell>
          <cell r="AD248" t="e">
            <v>#N/A</v>
          </cell>
          <cell r="AE248" t="e">
            <v>#N/A</v>
          </cell>
          <cell r="AF248" t="e">
            <v>#N/A</v>
          </cell>
          <cell r="AG248" t="e">
            <v>#N/A</v>
          </cell>
        </row>
        <row r="249">
          <cell r="A249" t="e">
            <v>#N/A</v>
          </cell>
          <cell r="B249" t="str">
            <v>FS06F2</v>
          </cell>
          <cell r="C249">
            <v>0</v>
          </cell>
          <cell r="D249">
            <v>0</v>
          </cell>
          <cell r="E249">
            <v>0</v>
          </cell>
          <cell r="F249" t="e">
            <v>#N/A</v>
          </cell>
          <cell r="G249" t="e">
            <v>#N/A</v>
          </cell>
          <cell r="H249" t="e">
            <v>#N/A</v>
          </cell>
          <cell r="I249" t="e">
            <v>#N/A</v>
          </cell>
          <cell r="J249" t="e">
            <v>#N/A</v>
          </cell>
          <cell r="K249" t="e">
            <v>#N/A</v>
          </cell>
          <cell r="L249" t="e">
            <v>#N/A</v>
          </cell>
          <cell r="M249" t="e">
            <v>#N/A</v>
          </cell>
          <cell r="N249" t="e">
            <v>#N/A</v>
          </cell>
          <cell r="O249" t="e">
            <v>#N/A</v>
          </cell>
          <cell r="P249" t="e">
            <v>#N/A</v>
          </cell>
          <cell r="Q249" t="e">
            <v>#N/A</v>
          </cell>
          <cell r="R249" t="e">
            <v>#N/A</v>
          </cell>
          <cell r="S249" t="e">
            <v>#N/A</v>
          </cell>
          <cell r="T249" t="e">
            <v>#N/A</v>
          </cell>
          <cell r="U249" t="e">
            <v>#N/A</v>
          </cell>
          <cell r="V249" t="e">
            <v>#N/A</v>
          </cell>
          <cell r="W249" t="e">
            <v>#N/A</v>
          </cell>
          <cell r="X249" t="e">
            <v>#N/A</v>
          </cell>
          <cell r="Y249" t="e">
            <v>#N/A</v>
          </cell>
          <cell r="Z249" t="e">
            <v>#N/A</v>
          </cell>
          <cell r="AA249" t="e">
            <v>#N/A</v>
          </cell>
          <cell r="AB249" t="e">
            <v>#N/A</v>
          </cell>
          <cell r="AC249" t="e">
            <v>#N/A</v>
          </cell>
          <cell r="AD249" t="e">
            <v>#N/A</v>
          </cell>
          <cell r="AE249" t="e">
            <v>#N/A</v>
          </cell>
          <cell r="AF249" t="e">
            <v>#N/A</v>
          </cell>
          <cell r="AG249" t="e">
            <v>#N/A</v>
          </cell>
        </row>
        <row r="250">
          <cell r="A250" t="e">
            <v>#N/A</v>
          </cell>
          <cell r="B250" t="str">
            <v>FS06F3</v>
          </cell>
          <cell r="C250">
            <v>0</v>
          </cell>
          <cell r="D250">
            <v>0</v>
          </cell>
          <cell r="E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P250" t="e">
            <v>#N/A</v>
          </cell>
          <cell r="Q250" t="e">
            <v>#N/A</v>
          </cell>
          <cell r="R250" t="e">
            <v>#N/A</v>
          </cell>
          <cell r="S250" t="e">
            <v>#N/A</v>
          </cell>
          <cell r="T250" t="e">
            <v>#N/A</v>
          </cell>
          <cell r="U250" t="e">
            <v>#N/A</v>
          </cell>
          <cell r="V250" t="e">
            <v>#N/A</v>
          </cell>
          <cell r="W250" t="e">
            <v>#N/A</v>
          </cell>
          <cell r="X250" t="e">
            <v>#N/A</v>
          </cell>
          <cell r="Y250" t="e">
            <v>#N/A</v>
          </cell>
          <cell r="Z250" t="e">
            <v>#N/A</v>
          </cell>
          <cell r="AA250" t="e">
            <v>#N/A</v>
          </cell>
          <cell r="AB250" t="e">
            <v>#N/A</v>
          </cell>
          <cell r="AC250" t="e">
            <v>#N/A</v>
          </cell>
          <cell r="AD250" t="e">
            <v>#N/A</v>
          </cell>
          <cell r="AE250" t="e">
            <v>#N/A</v>
          </cell>
          <cell r="AF250" t="e">
            <v>#N/A</v>
          </cell>
          <cell r="AG250" t="e">
            <v>#N/A</v>
          </cell>
        </row>
        <row r="251">
          <cell r="A251" t="e">
            <v>#N/A</v>
          </cell>
          <cell r="B251" t="str">
            <v>FS06F4</v>
          </cell>
          <cell r="C251">
            <v>0</v>
          </cell>
          <cell r="D251">
            <v>0</v>
          </cell>
          <cell r="E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</row>
        <row r="252">
          <cell r="A252" t="e">
            <v>#N/A</v>
          </cell>
          <cell r="B252" t="str">
            <v>FS06F5</v>
          </cell>
          <cell r="C252">
            <v>0</v>
          </cell>
          <cell r="D252">
            <v>0</v>
          </cell>
          <cell r="E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</row>
        <row r="253">
          <cell r="A253" t="e">
            <v>#N/A</v>
          </cell>
          <cell r="B253" t="str">
            <v>FS06F6</v>
          </cell>
          <cell r="C253">
            <v>0</v>
          </cell>
          <cell r="D253">
            <v>0</v>
          </cell>
          <cell r="E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</row>
        <row r="254">
          <cell r="A254" t="e">
            <v>#N/A</v>
          </cell>
          <cell r="B254" t="str">
            <v>FS06F7</v>
          </cell>
          <cell r="C254">
            <v>0</v>
          </cell>
          <cell r="D254">
            <v>0</v>
          </cell>
          <cell r="E254">
            <v>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</row>
        <row r="255">
          <cell r="A255" t="e">
            <v>#N/A</v>
          </cell>
          <cell r="B255" t="str">
            <v>FS06F8</v>
          </cell>
          <cell r="C255">
            <v>0</v>
          </cell>
          <cell r="D255">
            <v>0</v>
          </cell>
          <cell r="E255">
            <v>0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</row>
        <row r="256">
          <cell r="A256" t="e">
            <v>#N/A</v>
          </cell>
          <cell r="B256" t="str">
            <v>FS06F9</v>
          </cell>
          <cell r="C256">
            <v>0</v>
          </cell>
          <cell r="D256">
            <v>0</v>
          </cell>
          <cell r="E256">
            <v>0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</row>
        <row r="257">
          <cell r="A257" t="e">
            <v>#N/A</v>
          </cell>
          <cell r="B257" t="str">
            <v>FS06F10</v>
          </cell>
          <cell r="C257">
            <v>0</v>
          </cell>
          <cell r="D257">
            <v>0</v>
          </cell>
          <cell r="E257">
            <v>0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</row>
        <row r="258">
          <cell r="A258" t="e">
            <v>#N/A</v>
          </cell>
          <cell r="B258" t="str">
            <v>FS06F11</v>
          </cell>
          <cell r="C258">
            <v>0</v>
          </cell>
          <cell r="D258">
            <v>0</v>
          </cell>
          <cell r="E258">
            <v>0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</row>
        <row r="259">
          <cell r="A259" t="e">
            <v>#N/A</v>
          </cell>
          <cell r="B259" t="str">
            <v>FS06F12</v>
          </cell>
          <cell r="C259">
            <v>0</v>
          </cell>
          <cell r="D259">
            <v>0</v>
          </cell>
          <cell r="E259">
            <v>0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</row>
        <row r="260">
          <cell r="AD260" t="e">
            <v>#N/A</v>
          </cell>
          <cell r="AE260" t="e">
            <v>#N/A</v>
          </cell>
          <cell r="AF260" t="str">
            <v/>
          </cell>
        </row>
        <row r="262">
          <cell r="A262" t="e">
            <v>#N/A</v>
          </cell>
          <cell r="B262" t="str">
            <v>FF01F1</v>
          </cell>
          <cell r="N262" t="e">
            <v>#N/A</v>
          </cell>
          <cell r="O262" t="e">
            <v>#N/A</v>
          </cell>
          <cell r="P262" t="e">
            <v>#N/A</v>
          </cell>
          <cell r="R262" t="e">
            <v>#N/A</v>
          </cell>
          <cell r="S262" t="e">
            <v>#N/A</v>
          </cell>
          <cell r="T262" t="e">
            <v>#N/A</v>
          </cell>
          <cell r="U262" t="e">
            <v>#N/A</v>
          </cell>
          <cell r="V262" t="e">
            <v>#N/A</v>
          </cell>
          <cell r="W262" t="e">
            <v>#N/A</v>
          </cell>
          <cell r="X262" t="e">
            <v>#N/A</v>
          </cell>
          <cell r="Y262" t="e">
            <v>#N/A</v>
          </cell>
          <cell r="Z262" t="e">
            <v>#N/A</v>
          </cell>
          <cell r="AA262" t="e">
            <v>#N/A</v>
          </cell>
          <cell r="AB262" t="e">
            <v>#N/A</v>
          </cell>
          <cell r="AD262" t="e">
            <v>#N/A</v>
          </cell>
        </row>
        <row r="263">
          <cell r="A263" t="e">
            <v>#N/A</v>
          </cell>
          <cell r="B263" t="str">
            <v>FF01F2</v>
          </cell>
          <cell r="N263" t="e">
            <v>#N/A</v>
          </cell>
          <cell r="O263" t="e">
            <v>#N/A</v>
          </cell>
          <cell r="P263" t="e">
            <v>#N/A</v>
          </cell>
          <cell r="R263" t="e">
            <v>#N/A</v>
          </cell>
          <cell r="S263" t="e">
            <v>#N/A</v>
          </cell>
          <cell r="T263" t="e">
            <v>#N/A</v>
          </cell>
          <cell r="U263" t="e">
            <v>#N/A</v>
          </cell>
          <cell r="V263" t="e">
            <v>#N/A</v>
          </cell>
          <cell r="W263" t="e">
            <v>#N/A</v>
          </cell>
          <cell r="X263" t="e">
            <v>#N/A</v>
          </cell>
          <cell r="Y263" t="e">
            <v>#N/A</v>
          </cell>
          <cell r="Z263" t="e">
            <v>#N/A</v>
          </cell>
          <cell r="AA263" t="e">
            <v>#N/A</v>
          </cell>
          <cell r="AB263" t="e">
            <v>#N/A</v>
          </cell>
          <cell r="AD263" t="e">
            <v>#N/A</v>
          </cell>
        </row>
        <row r="264">
          <cell r="A264" t="e">
            <v>#N/A</v>
          </cell>
          <cell r="B264" t="str">
            <v>FF01F3</v>
          </cell>
          <cell r="N264" t="e">
            <v>#N/A</v>
          </cell>
          <cell r="O264" t="e">
            <v>#N/A</v>
          </cell>
          <cell r="P264" t="e">
            <v>#N/A</v>
          </cell>
          <cell r="R264" t="e">
            <v>#N/A</v>
          </cell>
          <cell r="S264" t="e">
            <v>#N/A</v>
          </cell>
          <cell r="T264" t="e">
            <v>#N/A</v>
          </cell>
          <cell r="U264" t="e">
            <v>#N/A</v>
          </cell>
          <cell r="V264" t="e">
            <v>#N/A</v>
          </cell>
          <cell r="W264" t="e">
            <v>#N/A</v>
          </cell>
          <cell r="X264" t="e">
            <v>#N/A</v>
          </cell>
          <cell r="Y264" t="e">
            <v>#N/A</v>
          </cell>
          <cell r="Z264" t="e">
            <v>#N/A</v>
          </cell>
          <cell r="AA264" t="e">
            <v>#N/A</v>
          </cell>
          <cell r="AB264" t="e">
            <v>#N/A</v>
          </cell>
          <cell r="AD264" t="e">
            <v>#N/A</v>
          </cell>
        </row>
        <row r="265">
          <cell r="A265" t="e">
            <v>#N/A</v>
          </cell>
          <cell r="B265" t="str">
            <v>FF01F4</v>
          </cell>
          <cell r="N265" t="e">
            <v>#N/A</v>
          </cell>
          <cell r="O265" t="e">
            <v>#N/A</v>
          </cell>
          <cell r="P265" t="e">
            <v>#N/A</v>
          </cell>
          <cell r="R265" t="e">
            <v>#N/A</v>
          </cell>
          <cell r="S265" t="e">
            <v>#N/A</v>
          </cell>
          <cell r="T265" t="e">
            <v>#N/A</v>
          </cell>
          <cell r="U265" t="e">
            <v>#N/A</v>
          </cell>
          <cell r="V265" t="e">
            <v>#N/A</v>
          </cell>
          <cell r="W265" t="e">
            <v>#N/A</v>
          </cell>
          <cell r="X265" t="e">
            <v>#N/A</v>
          </cell>
          <cell r="Y265" t="e">
            <v>#N/A</v>
          </cell>
          <cell r="Z265" t="e">
            <v>#N/A</v>
          </cell>
          <cell r="AA265" t="e">
            <v>#N/A</v>
          </cell>
          <cell r="AB265" t="e">
            <v>#N/A</v>
          </cell>
          <cell r="AD265" t="e">
            <v>#N/A</v>
          </cell>
        </row>
        <row r="266">
          <cell r="A266" t="e">
            <v>#N/A</v>
          </cell>
          <cell r="B266" t="str">
            <v>FF01F5</v>
          </cell>
          <cell r="N266" t="e">
            <v>#N/A</v>
          </cell>
          <cell r="O266" t="e">
            <v>#N/A</v>
          </cell>
          <cell r="P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D266" t="e">
            <v>#N/A</v>
          </cell>
        </row>
        <row r="267">
          <cell r="A267" t="e">
            <v>#N/A</v>
          </cell>
          <cell r="B267" t="str">
            <v>FF01F6</v>
          </cell>
          <cell r="N267" t="e">
            <v>#N/A</v>
          </cell>
          <cell r="O267" t="e">
            <v>#N/A</v>
          </cell>
          <cell r="P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D267" t="e">
            <v>#N/A</v>
          </cell>
        </row>
        <row r="268">
          <cell r="A268" t="e">
            <v>#N/A</v>
          </cell>
          <cell r="B268" t="str">
            <v>FF01F7</v>
          </cell>
          <cell r="N268" t="e">
            <v>#N/A</v>
          </cell>
          <cell r="O268" t="e">
            <v>#N/A</v>
          </cell>
          <cell r="P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D268" t="e">
            <v>#N/A</v>
          </cell>
        </row>
        <row r="269">
          <cell r="AD269" t="e">
            <v>#N/A</v>
          </cell>
        </row>
      </sheetData>
      <sheetData sheetId="18">
        <row r="175">
          <cell r="A175" t="e">
            <v>#N/A</v>
          </cell>
          <cell r="B175" t="str">
            <v>FS01F1</v>
          </cell>
          <cell r="C175">
            <v>0</v>
          </cell>
          <cell r="D175">
            <v>0</v>
          </cell>
          <cell r="E175">
            <v>0</v>
          </cell>
          <cell r="F175" t="e">
            <v>#N/A</v>
          </cell>
          <cell r="G175" t="e">
            <v>#N/A</v>
          </cell>
          <cell r="H175" t="e">
            <v>#N/A</v>
          </cell>
          <cell r="I175" t="e">
            <v>#N/A</v>
          </cell>
          <cell r="J175" t="e">
            <v>#N/A</v>
          </cell>
          <cell r="K175" t="e">
            <v>#N/A</v>
          </cell>
          <cell r="L175" t="e">
            <v>#N/A</v>
          </cell>
          <cell r="M175" t="e">
            <v>#N/A</v>
          </cell>
          <cell r="N175" t="e">
            <v>#N/A</v>
          </cell>
          <cell r="O175" t="e">
            <v>#N/A</v>
          </cell>
          <cell r="Q175" t="e">
            <v>#N/A</v>
          </cell>
          <cell r="R175" t="e">
            <v>#N/A</v>
          </cell>
          <cell r="S175" t="e">
            <v>#N/A</v>
          </cell>
          <cell r="T175" t="e">
            <v>#N/A</v>
          </cell>
          <cell r="U175" t="e">
            <v>#N/A</v>
          </cell>
          <cell r="V175" t="e">
            <v>#N/A</v>
          </cell>
          <cell r="W175" t="e">
            <v>#N/A</v>
          </cell>
          <cell r="X175" t="e">
            <v>#N/A</v>
          </cell>
          <cell r="Y175" t="e">
            <v>#N/A</v>
          </cell>
          <cell r="Z175" t="e">
            <v>#N/A</v>
          </cell>
          <cell r="AA175" t="e">
            <v>#N/A</v>
          </cell>
          <cell r="AB175" t="e">
            <v>#N/A</v>
          </cell>
          <cell r="AC175" t="e">
            <v>#N/A</v>
          </cell>
          <cell r="AD175" t="e">
            <v>#N/A</v>
          </cell>
          <cell r="AE175" t="e">
            <v>#N/A</v>
          </cell>
          <cell r="AF175" t="e">
            <v>#N/A</v>
          </cell>
          <cell r="AG175" t="e">
            <v>#N/A</v>
          </cell>
        </row>
        <row r="176">
          <cell r="A176" t="e">
            <v>#N/A</v>
          </cell>
          <cell r="B176" t="str">
            <v>FS01F2</v>
          </cell>
          <cell r="C176">
            <v>0</v>
          </cell>
          <cell r="D176">
            <v>0</v>
          </cell>
          <cell r="E176">
            <v>0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</row>
        <row r="177">
          <cell r="A177" t="e">
            <v>#N/A</v>
          </cell>
          <cell r="B177" t="str">
            <v>FS01F3</v>
          </cell>
          <cell r="C177">
            <v>0</v>
          </cell>
          <cell r="D177">
            <v>0</v>
          </cell>
          <cell r="E177">
            <v>0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</row>
        <row r="178">
          <cell r="A178" t="e">
            <v>#N/A</v>
          </cell>
          <cell r="B178" t="str">
            <v>FS01F4</v>
          </cell>
          <cell r="C178">
            <v>0</v>
          </cell>
          <cell r="D178">
            <v>0</v>
          </cell>
          <cell r="E178">
            <v>0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</row>
        <row r="179">
          <cell r="A179" t="e">
            <v>#N/A</v>
          </cell>
          <cell r="B179" t="str">
            <v>FS01F5</v>
          </cell>
          <cell r="C179">
            <v>0</v>
          </cell>
          <cell r="D179">
            <v>0</v>
          </cell>
          <cell r="E179">
            <v>0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</row>
        <row r="180">
          <cell r="A180" t="e">
            <v>#N/A</v>
          </cell>
          <cell r="B180" t="str">
            <v>FS01F6</v>
          </cell>
          <cell r="C180">
            <v>0</v>
          </cell>
          <cell r="D180">
            <v>0</v>
          </cell>
          <cell r="E180">
            <v>0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</row>
        <row r="181">
          <cell r="A181" t="e">
            <v>#N/A</v>
          </cell>
          <cell r="B181" t="str">
            <v>FS01F7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</row>
        <row r="183"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G183" t="e">
            <v>#N/A</v>
          </cell>
        </row>
        <row r="186">
          <cell r="C186" t="str">
            <v>NE13EX-2350-85015107</v>
          </cell>
        </row>
        <row r="187">
          <cell r="C187" t="str">
            <v>NE13EX-2350-85015107</v>
          </cell>
        </row>
        <row r="188">
          <cell r="C188" t="str">
            <v>NE13EX-2350-85015107</v>
          </cell>
        </row>
        <row r="189">
          <cell r="B189" t="str">
            <v>-31.5 +16mm</v>
          </cell>
          <cell r="C189">
            <v>0</v>
          </cell>
          <cell r="D189">
            <v>0</v>
          </cell>
          <cell r="E189">
            <v>0</v>
          </cell>
        </row>
        <row r="190">
          <cell r="A190" t="e">
            <v>#N/A</v>
          </cell>
          <cell r="B190" t="str">
            <v>FS02F1</v>
          </cell>
          <cell r="C190">
            <v>0</v>
          </cell>
          <cell r="D190">
            <v>0</v>
          </cell>
          <cell r="E190">
            <v>0</v>
          </cell>
          <cell r="F190" t="e">
            <v>#N/A</v>
          </cell>
          <cell r="G190" t="e">
            <v>#N/A</v>
          </cell>
          <cell r="H190" t="e">
            <v>#N/A</v>
          </cell>
          <cell r="I190" t="e">
            <v>#N/A</v>
          </cell>
          <cell r="J190" t="e">
            <v>#N/A</v>
          </cell>
          <cell r="K190" t="e">
            <v>#N/A</v>
          </cell>
          <cell r="L190" t="e">
            <v>#N/A</v>
          </cell>
          <cell r="M190" t="e">
            <v>#N/A</v>
          </cell>
          <cell r="N190" t="e">
            <v>#N/A</v>
          </cell>
          <cell r="O190" t="e">
            <v>#N/A</v>
          </cell>
          <cell r="Q190" t="e">
            <v>#N/A</v>
          </cell>
          <cell r="R190" t="e">
            <v>#N/A</v>
          </cell>
          <cell r="S190" t="e">
            <v>#N/A</v>
          </cell>
          <cell r="T190" t="e">
            <v>#N/A</v>
          </cell>
          <cell r="U190" t="e">
            <v>#N/A</v>
          </cell>
          <cell r="V190" t="e">
            <v>#N/A</v>
          </cell>
          <cell r="W190" t="e">
            <v>#N/A</v>
          </cell>
          <cell r="X190" t="e">
            <v>#N/A</v>
          </cell>
          <cell r="Y190" t="e">
            <v>#N/A</v>
          </cell>
          <cell r="Z190" t="e">
            <v>#N/A</v>
          </cell>
          <cell r="AA190" t="e">
            <v>#N/A</v>
          </cell>
          <cell r="AB190" t="e">
            <v>#N/A</v>
          </cell>
          <cell r="AC190" t="e">
            <v>#N/A</v>
          </cell>
          <cell r="AD190" t="e">
            <v>#N/A</v>
          </cell>
          <cell r="AE190" t="e">
            <v>#N/A</v>
          </cell>
          <cell r="AF190" t="e">
            <v>#N/A</v>
          </cell>
          <cell r="AG190" t="e">
            <v>#N/A</v>
          </cell>
        </row>
        <row r="191">
          <cell r="A191" t="e">
            <v>#N/A</v>
          </cell>
          <cell r="B191" t="str">
            <v>FS02F2</v>
          </cell>
          <cell r="C191">
            <v>0</v>
          </cell>
          <cell r="D191">
            <v>0</v>
          </cell>
          <cell r="E191">
            <v>0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</row>
        <row r="192">
          <cell r="A192" t="e">
            <v>#N/A</v>
          </cell>
          <cell r="B192" t="str">
            <v>FS02F3</v>
          </cell>
          <cell r="C192">
            <v>0</v>
          </cell>
          <cell r="D192">
            <v>0</v>
          </cell>
          <cell r="E192">
            <v>0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</row>
        <row r="193">
          <cell r="A193" t="e">
            <v>#N/A</v>
          </cell>
          <cell r="B193" t="str">
            <v>FS02F4</v>
          </cell>
          <cell r="C193">
            <v>0</v>
          </cell>
          <cell r="D193">
            <v>0</v>
          </cell>
          <cell r="E193">
            <v>0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</row>
        <row r="194">
          <cell r="A194" t="e">
            <v>#N/A</v>
          </cell>
          <cell r="B194" t="str">
            <v>FS02F5</v>
          </cell>
          <cell r="C194">
            <v>0</v>
          </cell>
          <cell r="D194">
            <v>0</v>
          </cell>
          <cell r="E194">
            <v>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</row>
        <row r="195">
          <cell r="A195" t="e">
            <v>#N/A</v>
          </cell>
          <cell r="B195" t="str">
            <v>FS02F6</v>
          </cell>
          <cell r="C195">
            <v>0</v>
          </cell>
          <cell r="D195">
            <v>0</v>
          </cell>
          <cell r="E195">
            <v>0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</row>
        <row r="196">
          <cell r="A196" t="e">
            <v>#N/A</v>
          </cell>
          <cell r="B196" t="str">
            <v>FS02F7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</row>
        <row r="198"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G198" t="e">
            <v>#N/A</v>
          </cell>
        </row>
        <row r="201">
          <cell r="C201" t="str">
            <v>NE13EX-2350-85015107</v>
          </cell>
        </row>
        <row r="202">
          <cell r="C202" t="str">
            <v>NE13EX-2350-85015107</v>
          </cell>
        </row>
        <row r="203">
          <cell r="B203" t="str">
            <v>-16 +8.0mm</v>
          </cell>
          <cell r="C203">
            <v>0</v>
          </cell>
          <cell r="D203">
            <v>0</v>
          </cell>
          <cell r="E203">
            <v>0</v>
          </cell>
        </row>
        <row r="204">
          <cell r="B204" t="str">
            <v>FS03F1</v>
          </cell>
          <cell r="C204">
            <v>0</v>
          </cell>
          <cell r="D204">
            <v>0</v>
          </cell>
          <cell r="E204">
            <v>0</v>
          </cell>
        </row>
        <row r="205">
          <cell r="A205" t="e">
            <v>#N/A</v>
          </cell>
          <cell r="B205" t="str">
            <v>FS03F1</v>
          </cell>
          <cell r="C205">
            <v>0</v>
          </cell>
          <cell r="D205">
            <v>0</v>
          </cell>
          <cell r="E205">
            <v>0</v>
          </cell>
          <cell r="F205" t="e">
            <v>#N/A</v>
          </cell>
          <cell r="G205" t="e">
            <v>#N/A</v>
          </cell>
          <cell r="H205" t="e">
            <v>#N/A</v>
          </cell>
          <cell r="I205" t="e">
            <v>#N/A</v>
          </cell>
          <cell r="J205" t="e">
            <v>#N/A</v>
          </cell>
          <cell r="K205" t="e">
            <v>#N/A</v>
          </cell>
          <cell r="L205" t="e">
            <v>#N/A</v>
          </cell>
          <cell r="M205" t="e">
            <v>#N/A</v>
          </cell>
          <cell r="N205" t="e">
            <v>#N/A</v>
          </cell>
          <cell r="O205" t="e">
            <v>#N/A</v>
          </cell>
          <cell r="Q205" t="e">
            <v>#N/A</v>
          </cell>
          <cell r="R205" t="e">
            <v>#N/A</v>
          </cell>
          <cell r="S205" t="e">
            <v>#N/A</v>
          </cell>
          <cell r="T205" t="e">
            <v>#N/A</v>
          </cell>
          <cell r="U205" t="e">
            <v>#N/A</v>
          </cell>
          <cell r="V205" t="e">
            <v>#N/A</v>
          </cell>
          <cell r="W205" t="e">
            <v>#N/A</v>
          </cell>
          <cell r="X205" t="e">
            <v>#N/A</v>
          </cell>
          <cell r="Y205" t="e">
            <v>#N/A</v>
          </cell>
          <cell r="Z205" t="e">
            <v>#N/A</v>
          </cell>
          <cell r="AA205" t="e">
            <v>#N/A</v>
          </cell>
          <cell r="AB205" t="e">
            <v>#N/A</v>
          </cell>
          <cell r="AC205" t="e">
            <v>#N/A</v>
          </cell>
          <cell r="AD205" t="e">
            <v>#N/A</v>
          </cell>
          <cell r="AE205" t="e">
            <v>#N/A</v>
          </cell>
          <cell r="AF205" t="e">
            <v>#N/A</v>
          </cell>
          <cell r="AG205" t="e">
            <v>#N/A</v>
          </cell>
          <cell r="AO205" t="e">
            <v>#N/A</v>
          </cell>
          <cell r="AP205" t="e">
            <v>#N/A</v>
          </cell>
        </row>
        <row r="206">
          <cell r="A206" t="e">
            <v>#N/A</v>
          </cell>
          <cell r="B206" t="str">
            <v>FS03F2</v>
          </cell>
          <cell r="C206">
            <v>0</v>
          </cell>
          <cell r="D206">
            <v>0</v>
          </cell>
          <cell r="E206">
            <v>0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O206" t="e">
            <v>#N/A</v>
          </cell>
          <cell r="AP206" t="e">
            <v>#N/A</v>
          </cell>
        </row>
        <row r="207">
          <cell r="A207" t="e">
            <v>#N/A</v>
          </cell>
          <cell r="B207" t="str">
            <v>FS03F3</v>
          </cell>
          <cell r="C207">
            <v>0</v>
          </cell>
          <cell r="D207">
            <v>0</v>
          </cell>
          <cell r="E207">
            <v>0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O207" t="e">
            <v>#N/A</v>
          </cell>
          <cell r="AP207" t="e">
            <v>#N/A</v>
          </cell>
        </row>
        <row r="208">
          <cell r="A208" t="e">
            <v>#N/A</v>
          </cell>
          <cell r="B208" t="str">
            <v>FS03F4</v>
          </cell>
          <cell r="C208">
            <v>0</v>
          </cell>
          <cell r="D208">
            <v>0</v>
          </cell>
          <cell r="E208">
            <v>0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O208" t="e">
            <v>#N/A</v>
          </cell>
          <cell r="AP208" t="e">
            <v>#N/A</v>
          </cell>
        </row>
        <row r="209">
          <cell r="A209" t="e">
            <v>#N/A</v>
          </cell>
          <cell r="B209" t="str">
            <v>FS03F5</v>
          </cell>
          <cell r="C209">
            <v>0</v>
          </cell>
          <cell r="D209">
            <v>0</v>
          </cell>
          <cell r="E209">
            <v>0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O209" t="e">
            <v>#N/A</v>
          </cell>
          <cell r="AP209" t="e">
            <v>#N/A</v>
          </cell>
        </row>
        <row r="210">
          <cell r="A210" t="e">
            <v>#N/A</v>
          </cell>
          <cell r="B210" t="str">
            <v>FS03F6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O210" t="e">
            <v>#N/A</v>
          </cell>
          <cell r="AP210" t="e">
            <v>#N/A</v>
          </cell>
        </row>
        <row r="211">
          <cell r="A211" t="e">
            <v>#N/A</v>
          </cell>
          <cell r="B211" t="str">
            <v>FS03F7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O211" t="e">
            <v>#N/A</v>
          </cell>
          <cell r="AP211" t="e">
            <v>#N/A</v>
          </cell>
        </row>
        <row r="213"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G213" t="e">
            <v>#N/A</v>
          </cell>
          <cell r="AO213" t="e">
            <v>#N/A</v>
          </cell>
          <cell r="AP213" t="e">
            <v>#N/A</v>
          </cell>
        </row>
        <row r="215">
          <cell r="C215" t="str">
            <v>NE13EX-2350-85015107</v>
          </cell>
        </row>
        <row r="216">
          <cell r="C216" t="str">
            <v>NE13EX-2350-85015107</v>
          </cell>
        </row>
        <row r="217">
          <cell r="C217" t="str">
            <v>NE13EX-2350-85015107</v>
          </cell>
        </row>
        <row r="218">
          <cell r="C218">
            <v>0</v>
          </cell>
          <cell r="D218">
            <v>0</v>
          </cell>
          <cell r="E218">
            <v>0</v>
          </cell>
        </row>
        <row r="219">
          <cell r="B219" t="str">
            <v>-8.0 +4.0mm</v>
          </cell>
          <cell r="C219">
            <v>0</v>
          </cell>
          <cell r="D219">
            <v>0</v>
          </cell>
          <cell r="E219">
            <v>0</v>
          </cell>
        </row>
        <row r="220">
          <cell r="A220" t="e">
            <v>#N/A</v>
          </cell>
          <cell r="B220" t="str">
            <v>FS04F1</v>
          </cell>
          <cell r="C220">
            <v>0</v>
          </cell>
          <cell r="D220">
            <v>0</v>
          </cell>
          <cell r="E220">
            <v>0</v>
          </cell>
          <cell r="F220" t="e">
            <v>#N/A</v>
          </cell>
          <cell r="G220" t="e">
            <v>#N/A</v>
          </cell>
          <cell r="H220" t="e">
            <v>#N/A</v>
          </cell>
          <cell r="I220" t="e">
            <v>#N/A</v>
          </cell>
          <cell r="J220" t="e">
            <v>#N/A</v>
          </cell>
          <cell r="K220" t="e">
            <v>#N/A</v>
          </cell>
          <cell r="L220" t="e">
            <v>#N/A</v>
          </cell>
          <cell r="M220" t="e">
            <v>#N/A</v>
          </cell>
          <cell r="N220" t="e">
            <v>#N/A</v>
          </cell>
          <cell r="O220" t="e">
            <v>#N/A</v>
          </cell>
          <cell r="Q220" t="e">
            <v>#N/A</v>
          </cell>
          <cell r="R220" t="e">
            <v>#N/A</v>
          </cell>
          <cell r="S220" t="e">
            <v>#N/A</v>
          </cell>
          <cell r="T220" t="e">
            <v>#N/A</v>
          </cell>
          <cell r="U220" t="e">
            <v>#N/A</v>
          </cell>
          <cell r="V220" t="e">
            <v>#N/A</v>
          </cell>
          <cell r="W220" t="e">
            <v>#N/A</v>
          </cell>
          <cell r="X220" t="e">
            <v>#N/A</v>
          </cell>
          <cell r="Y220" t="e">
            <v>#N/A</v>
          </cell>
          <cell r="Z220" t="e">
            <v>#N/A</v>
          </cell>
          <cell r="AA220" t="e">
            <v>#N/A</v>
          </cell>
          <cell r="AB220" t="e">
            <v>#N/A</v>
          </cell>
          <cell r="AC220" t="e">
            <v>#N/A</v>
          </cell>
          <cell r="AD220" t="e">
            <v>#N/A</v>
          </cell>
          <cell r="AE220" t="e">
            <v>#N/A</v>
          </cell>
          <cell r="AF220" t="e">
            <v>#N/A</v>
          </cell>
          <cell r="AG220" t="e">
            <v>#N/A</v>
          </cell>
          <cell r="AM220">
            <v>0</v>
          </cell>
        </row>
        <row r="221">
          <cell r="A221" t="e">
            <v>#N/A</v>
          </cell>
          <cell r="B221" t="str">
            <v>FS04F2</v>
          </cell>
          <cell r="C221">
            <v>0</v>
          </cell>
          <cell r="D221">
            <v>0</v>
          </cell>
          <cell r="E221">
            <v>0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</row>
        <row r="222">
          <cell r="A222" t="e">
            <v>#N/A</v>
          </cell>
          <cell r="B222" t="str">
            <v>FS04F3</v>
          </cell>
          <cell r="C222">
            <v>0</v>
          </cell>
          <cell r="D222">
            <v>0</v>
          </cell>
          <cell r="E222">
            <v>0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</row>
        <row r="223">
          <cell r="A223" t="e">
            <v>#N/A</v>
          </cell>
          <cell r="B223" t="str">
            <v>FS04F4</v>
          </cell>
          <cell r="C223">
            <v>0</v>
          </cell>
          <cell r="D223">
            <v>0</v>
          </cell>
          <cell r="E223">
            <v>0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</row>
        <row r="224">
          <cell r="A224" t="e">
            <v>#N/A</v>
          </cell>
          <cell r="B224" t="str">
            <v>FS04F5</v>
          </cell>
          <cell r="C224">
            <v>0</v>
          </cell>
          <cell r="D224">
            <v>0</v>
          </cell>
          <cell r="E224">
            <v>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</row>
        <row r="225">
          <cell r="A225" t="e">
            <v>#N/A</v>
          </cell>
          <cell r="B225" t="str">
            <v>FS04F6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</row>
        <row r="226">
          <cell r="A226" t="e">
            <v>#N/A</v>
          </cell>
          <cell r="B226" t="str">
            <v>FS04F7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</row>
        <row r="228"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G228" t="e">
            <v>#N/A</v>
          </cell>
        </row>
        <row r="230">
          <cell r="C230" t="str">
            <v>NE13EX-2350-85015107</v>
          </cell>
        </row>
        <row r="231">
          <cell r="C231" t="str">
            <v>NE13EX-2350-85015107</v>
          </cell>
        </row>
        <row r="232">
          <cell r="C232" t="str">
            <v>NE13EX-2350-85015107</v>
          </cell>
        </row>
        <row r="233">
          <cell r="C233">
            <v>0</v>
          </cell>
          <cell r="D233">
            <v>0</v>
          </cell>
          <cell r="E233">
            <v>0</v>
          </cell>
        </row>
        <row r="234">
          <cell r="B234" t="str">
            <v>-4.0 +1.0mm</v>
          </cell>
          <cell r="C234">
            <v>0</v>
          </cell>
          <cell r="D234">
            <v>0</v>
          </cell>
          <cell r="E234">
            <v>0</v>
          </cell>
        </row>
        <row r="235">
          <cell r="A235" t="e">
            <v>#N/A</v>
          </cell>
          <cell r="B235" t="str">
            <v>FS05F1</v>
          </cell>
          <cell r="C235">
            <v>0</v>
          </cell>
          <cell r="D235">
            <v>0</v>
          </cell>
          <cell r="E235">
            <v>0</v>
          </cell>
          <cell r="F235" t="e">
            <v>#N/A</v>
          </cell>
          <cell r="G235" t="e">
            <v>#N/A</v>
          </cell>
          <cell r="H235" t="e">
            <v>#N/A</v>
          </cell>
          <cell r="I235" t="e">
            <v>#N/A</v>
          </cell>
          <cell r="J235" t="e">
            <v>#N/A</v>
          </cell>
          <cell r="K235" t="e">
            <v>#N/A</v>
          </cell>
          <cell r="L235" t="e">
            <v>#N/A</v>
          </cell>
          <cell r="M235" t="e">
            <v>#N/A</v>
          </cell>
          <cell r="N235" t="e">
            <v>#N/A</v>
          </cell>
          <cell r="O235" t="e">
            <v>#N/A</v>
          </cell>
          <cell r="Q235" t="e">
            <v>#N/A</v>
          </cell>
          <cell r="R235" t="e">
            <v>#N/A</v>
          </cell>
          <cell r="S235" t="e">
            <v>#N/A</v>
          </cell>
          <cell r="T235" t="e">
            <v>#N/A</v>
          </cell>
          <cell r="U235" t="e">
            <v>#N/A</v>
          </cell>
          <cell r="V235" t="e">
            <v>#N/A</v>
          </cell>
          <cell r="W235" t="e">
            <v>#N/A</v>
          </cell>
          <cell r="X235" t="e">
            <v>#N/A</v>
          </cell>
          <cell r="Y235" t="e">
            <v>#N/A</v>
          </cell>
          <cell r="Z235" t="e">
            <v>#N/A</v>
          </cell>
          <cell r="AA235" t="e">
            <v>#N/A</v>
          </cell>
          <cell r="AB235" t="e">
            <v>#N/A</v>
          </cell>
          <cell r="AC235" t="e">
            <v>#N/A</v>
          </cell>
          <cell r="AD235" t="e">
            <v>#N/A</v>
          </cell>
          <cell r="AE235" t="e">
            <v>#N/A</v>
          </cell>
          <cell r="AF235" t="e">
            <v>#N/A</v>
          </cell>
          <cell r="AG235" t="e">
            <v>#N/A</v>
          </cell>
        </row>
        <row r="236">
          <cell r="A236" t="e">
            <v>#N/A</v>
          </cell>
          <cell r="B236" t="str">
            <v>FS05F2</v>
          </cell>
          <cell r="C236">
            <v>0</v>
          </cell>
          <cell r="D236">
            <v>0</v>
          </cell>
          <cell r="E236">
            <v>0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</row>
        <row r="237">
          <cell r="A237" t="e">
            <v>#N/A</v>
          </cell>
          <cell r="B237" t="str">
            <v>FS05F3</v>
          </cell>
          <cell r="C237">
            <v>0</v>
          </cell>
          <cell r="D237">
            <v>0</v>
          </cell>
          <cell r="E237">
            <v>0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</row>
        <row r="238">
          <cell r="A238" t="e">
            <v>#N/A</v>
          </cell>
          <cell r="B238" t="str">
            <v>FS05F4</v>
          </cell>
          <cell r="C238">
            <v>0</v>
          </cell>
          <cell r="D238">
            <v>0</v>
          </cell>
          <cell r="E238">
            <v>0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</row>
        <row r="239">
          <cell r="A239" t="e">
            <v>#N/A</v>
          </cell>
          <cell r="B239" t="str">
            <v>FS05F5</v>
          </cell>
          <cell r="C239">
            <v>0</v>
          </cell>
          <cell r="D239">
            <v>0</v>
          </cell>
          <cell r="E239">
            <v>0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</row>
        <row r="240">
          <cell r="A240" t="e">
            <v>#N/A</v>
          </cell>
          <cell r="B240" t="str">
            <v>FS05F6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</row>
        <row r="241">
          <cell r="A241" t="e">
            <v>#N/A</v>
          </cell>
          <cell r="B241" t="str">
            <v>FS05F7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</row>
        <row r="243"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G243" t="e">
            <v>#N/A</v>
          </cell>
        </row>
        <row r="245">
          <cell r="C245" t="str">
            <v>NE13EX-2350-85015107</v>
          </cell>
        </row>
        <row r="246">
          <cell r="C246" t="str">
            <v>NE13EX-2350-85015107</v>
          </cell>
        </row>
        <row r="247">
          <cell r="C247">
            <v>0</v>
          </cell>
          <cell r="D247">
            <v>0</v>
          </cell>
          <cell r="E247">
            <v>0</v>
          </cell>
        </row>
        <row r="248">
          <cell r="C248">
            <v>0</v>
          </cell>
          <cell r="D248">
            <v>0</v>
          </cell>
          <cell r="E248">
            <v>0</v>
          </cell>
        </row>
        <row r="249">
          <cell r="B249" t="str">
            <v>-1.0 +0.250mm</v>
          </cell>
          <cell r="C249">
            <v>0</v>
          </cell>
          <cell r="D249">
            <v>0</v>
          </cell>
          <cell r="E249">
            <v>0</v>
          </cell>
        </row>
        <row r="250">
          <cell r="A250" t="e">
            <v>#N/A</v>
          </cell>
          <cell r="B250" t="str">
            <v>FS06F1</v>
          </cell>
          <cell r="C250">
            <v>0</v>
          </cell>
          <cell r="D250">
            <v>0</v>
          </cell>
          <cell r="E250">
            <v>0</v>
          </cell>
          <cell r="F250" t="e">
            <v>#N/A</v>
          </cell>
          <cell r="G250" t="e">
            <v>#N/A</v>
          </cell>
          <cell r="H250" t="e">
            <v>#N/A</v>
          </cell>
          <cell r="I250" t="e">
            <v>#N/A</v>
          </cell>
          <cell r="J250" t="e">
            <v>#N/A</v>
          </cell>
          <cell r="K250" t="e">
            <v>#N/A</v>
          </cell>
          <cell r="L250" t="e">
            <v>#N/A</v>
          </cell>
          <cell r="M250" t="e">
            <v>#N/A</v>
          </cell>
          <cell r="N250" t="e">
            <v>#N/A</v>
          </cell>
          <cell r="O250" t="e">
            <v>#N/A</v>
          </cell>
          <cell r="Q250" t="e">
            <v>#N/A</v>
          </cell>
          <cell r="R250" t="e">
            <v>#N/A</v>
          </cell>
          <cell r="S250" t="e">
            <v>#N/A</v>
          </cell>
          <cell r="T250" t="e">
            <v>#N/A</v>
          </cell>
          <cell r="U250" t="e">
            <v>#N/A</v>
          </cell>
          <cell r="V250" t="e">
            <v>#N/A</v>
          </cell>
          <cell r="W250" t="e">
            <v>#N/A</v>
          </cell>
          <cell r="X250" t="e">
            <v>#N/A</v>
          </cell>
          <cell r="Y250" t="e">
            <v>#N/A</v>
          </cell>
          <cell r="Z250" t="e">
            <v>#N/A</v>
          </cell>
          <cell r="AA250" t="e">
            <v>#N/A</v>
          </cell>
          <cell r="AB250" t="e">
            <v>#N/A</v>
          </cell>
          <cell r="AC250" t="e">
            <v>#N/A</v>
          </cell>
          <cell r="AD250" t="e">
            <v>#N/A</v>
          </cell>
          <cell r="AE250" t="e">
            <v>#N/A</v>
          </cell>
          <cell r="AF250" t="e">
            <v>#N/A</v>
          </cell>
          <cell r="AG250" t="e">
            <v>#N/A</v>
          </cell>
        </row>
        <row r="251">
          <cell r="A251" t="e">
            <v>#N/A</v>
          </cell>
          <cell r="B251" t="str">
            <v>FS06F2</v>
          </cell>
          <cell r="C251">
            <v>0</v>
          </cell>
          <cell r="D251">
            <v>0</v>
          </cell>
          <cell r="E251">
            <v>0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</row>
        <row r="252">
          <cell r="A252" t="e">
            <v>#N/A</v>
          </cell>
          <cell r="B252" t="str">
            <v>FS06F3</v>
          </cell>
          <cell r="C252">
            <v>0</v>
          </cell>
          <cell r="D252">
            <v>0</v>
          </cell>
          <cell r="E252">
            <v>0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</row>
        <row r="253">
          <cell r="A253" t="e">
            <v>#N/A</v>
          </cell>
          <cell r="B253" t="str">
            <v>FS06F4</v>
          </cell>
          <cell r="C253">
            <v>0</v>
          </cell>
          <cell r="D253">
            <v>0</v>
          </cell>
          <cell r="E253">
            <v>0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</row>
        <row r="254">
          <cell r="A254" t="e">
            <v>#N/A</v>
          </cell>
          <cell r="B254" t="str">
            <v>FS06F5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</row>
        <row r="255">
          <cell r="A255" t="e">
            <v>#N/A</v>
          </cell>
          <cell r="B255" t="str">
            <v>FS06F6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</row>
        <row r="256">
          <cell r="A256" t="e">
            <v>#N/A</v>
          </cell>
          <cell r="B256" t="str">
            <v>FS06F7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</row>
        <row r="258"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</row>
        <row r="259">
          <cell r="C259" t="str">
            <v>NE13EX-2350-85015107</v>
          </cell>
        </row>
        <row r="260">
          <cell r="C260" t="str">
            <v>NE13EX-2350-85015107</v>
          </cell>
        </row>
      </sheetData>
      <sheetData sheetId="19"/>
      <sheetData sheetId="20"/>
      <sheetData sheetId="21">
        <row r="14">
          <cell r="C14" t="str">
            <v>SAD</v>
          </cell>
          <cell r="E14" t="str">
            <v xml:space="preserve">DRY SIZE - AFTER 10 DROPS </v>
          </cell>
          <cell r="J14" t="str">
            <v>Initial Mass (kg)</v>
          </cell>
          <cell r="L14" t="str">
            <v/>
          </cell>
          <cell r="N14" t="str">
            <v>Final Mass (kg)</v>
          </cell>
          <cell r="P14" t="e">
            <v>#N/A</v>
          </cell>
          <cell r="R14" t="str">
            <v>Loss / Gain %</v>
          </cell>
          <cell r="T14" t="str">
            <v/>
          </cell>
        </row>
        <row r="16">
          <cell r="C16" t="str">
            <v>85015104SAD01F1</v>
          </cell>
          <cell r="F16">
            <v>63</v>
          </cell>
          <cell r="G16" t="e">
            <v>#N/A</v>
          </cell>
          <cell r="P16" t="e">
            <v>#N/A</v>
          </cell>
          <cell r="X16" t="e">
            <v>#N/A</v>
          </cell>
        </row>
        <row r="17">
          <cell r="C17" t="str">
            <v>85015104SAD01F2</v>
          </cell>
          <cell r="E17">
            <v>63</v>
          </cell>
          <cell r="F17">
            <v>50</v>
          </cell>
          <cell r="G17" t="e">
            <v>#N/A</v>
          </cell>
          <cell r="P17" t="e">
            <v>#N/A</v>
          </cell>
          <cell r="X17" t="e">
            <v>#N/A</v>
          </cell>
        </row>
        <row r="18">
          <cell r="C18" t="str">
            <v>85015104SAD01F3</v>
          </cell>
          <cell r="E18">
            <v>50</v>
          </cell>
          <cell r="F18">
            <v>31.5</v>
          </cell>
          <cell r="G18" t="e">
            <v>#N/A</v>
          </cell>
          <cell r="P18" t="e">
            <v>#N/A</v>
          </cell>
          <cell r="X18" t="e">
            <v>#N/A</v>
          </cell>
        </row>
        <row r="19">
          <cell r="C19" t="str">
            <v>85015104SAD01F4</v>
          </cell>
          <cell r="E19">
            <v>31.5</v>
          </cell>
          <cell r="F19">
            <v>25</v>
          </cell>
          <cell r="G19" t="e">
            <v>#N/A</v>
          </cell>
          <cell r="P19" t="e">
            <v>#N/A</v>
          </cell>
          <cell r="X19" t="e">
            <v>#N/A</v>
          </cell>
        </row>
        <row r="20">
          <cell r="C20" t="str">
            <v>85015104SAD01F5</v>
          </cell>
          <cell r="E20">
            <v>25</v>
          </cell>
          <cell r="F20">
            <v>16</v>
          </cell>
          <cell r="G20" t="e">
            <v>#N/A</v>
          </cell>
          <cell r="P20" t="e">
            <v>#N/A</v>
          </cell>
          <cell r="X20" t="e">
            <v>#N/A</v>
          </cell>
        </row>
        <row r="21">
          <cell r="C21" t="str">
            <v>85015104SAD01F6</v>
          </cell>
          <cell r="E21">
            <v>16</v>
          </cell>
          <cell r="F21">
            <v>8</v>
          </cell>
          <cell r="G21" t="e">
            <v>#N/A</v>
          </cell>
          <cell r="P21" t="e">
            <v>#N/A</v>
          </cell>
          <cell r="X21" t="e">
            <v>#N/A</v>
          </cell>
        </row>
        <row r="22">
          <cell r="C22" t="str">
            <v>85015104SAD01F7</v>
          </cell>
          <cell r="E22">
            <v>8</v>
          </cell>
          <cell r="F22">
            <v>4</v>
          </cell>
          <cell r="G22" t="e">
            <v>#N/A</v>
          </cell>
          <cell r="P22" t="e">
            <v>#N/A</v>
          </cell>
          <cell r="X22" t="e">
            <v>#N/A</v>
          </cell>
        </row>
        <row r="23">
          <cell r="C23" t="str">
            <v>85015104SAD01F8</v>
          </cell>
          <cell r="E23">
            <v>4</v>
          </cell>
          <cell r="F23">
            <v>2</v>
          </cell>
          <cell r="G23" t="e">
            <v>#N/A</v>
          </cell>
          <cell r="P23" t="e">
            <v>#N/A</v>
          </cell>
          <cell r="X23" t="e">
            <v>#N/A</v>
          </cell>
        </row>
        <row r="24">
          <cell r="C24" t="str">
            <v>85015104SAD01F9</v>
          </cell>
          <cell r="E24">
            <v>2</v>
          </cell>
          <cell r="G24" t="e">
            <v>#N/A</v>
          </cell>
          <cell r="P24" t="e">
            <v>#N/A</v>
          </cell>
          <cell r="X24" t="e">
            <v>#N/A</v>
          </cell>
        </row>
        <row r="25">
          <cell r="G25" t="e">
            <v>#N/A</v>
          </cell>
        </row>
        <row r="26">
          <cell r="C26" t="str">
            <v>SADT</v>
          </cell>
          <cell r="E26" t="str">
            <v xml:space="preserve">DRY SIZE - AFTER DRY TUMBLE </v>
          </cell>
          <cell r="J26" t="str">
            <v>Initial Mass (kg)</v>
          </cell>
          <cell r="L26" t="str">
            <v/>
          </cell>
          <cell r="N26" t="str">
            <v>Final Mass (kg)</v>
          </cell>
          <cell r="P26" t="e">
            <v>#N/A</v>
          </cell>
          <cell r="R26" t="str">
            <v>Loss / Gain %</v>
          </cell>
          <cell r="T26" t="str">
            <v/>
          </cell>
        </row>
        <row r="28">
          <cell r="C28" t="str">
            <v>85015104SADT01F1</v>
          </cell>
          <cell r="F28">
            <v>63</v>
          </cell>
          <cell r="G28" t="e">
            <v>#N/A</v>
          </cell>
          <cell r="P28" t="e">
            <v>#N/A</v>
          </cell>
          <cell r="X28" t="e">
            <v>#N/A</v>
          </cell>
        </row>
        <row r="29">
          <cell r="C29" t="str">
            <v>85015104SADT01F2</v>
          </cell>
          <cell r="E29">
            <v>63</v>
          </cell>
          <cell r="F29">
            <v>50</v>
          </cell>
          <cell r="G29" t="e">
            <v>#N/A</v>
          </cell>
          <cell r="P29" t="e">
            <v>#N/A</v>
          </cell>
          <cell r="X29" t="e">
            <v>#N/A</v>
          </cell>
        </row>
        <row r="30">
          <cell r="C30" t="str">
            <v>85015104SADT01F3</v>
          </cell>
          <cell r="E30">
            <v>50</v>
          </cell>
          <cell r="F30">
            <v>31.5</v>
          </cell>
          <cell r="G30" t="e">
            <v>#N/A</v>
          </cell>
          <cell r="P30" t="e">
            <v>#N/A</v>
          </cell>
          <cell r="X30" t="e">
            <v>#N/A</v>
          </cell>
        </row>
        <row r="31">
          <cell r="C31" t="str">
            <v>85015104SADT01F4</v>
          </cell>
          <cell r="E31">
            <v>31.5</v>
          </cell>
          <cell r="F31">
            <v>25</v>
          </cell>
          <cell r="G31" t="e">
            <v>#N/A</v>
          </cell>
          <cell r="P31" t="e">
            <v>#N/A</v>
          </cell>
          <cell r="X31" t="e">
            <v>#N/A</v>
          </cell>
        </row>
        <row r="32">
          <cell r="C32" t="str">
            <v>85015104SADT01F5</v>
          </cell>
          <cell r="E32">
            <v>25</v>
          </cell>
          <cell r="F32">
            <v>16</v>
          </cell>
          <cell r="G32" t="e">
            <v>#N/A</v>
          </cell>
          <cell r="P32" t="e">
            <v>#N/A</v>
          </cell>
          <cell r="X32" t="e">
            <v>#N/A</v>
          </cell>
        </row>
        <row r="33">
          <cell r="C33" t="str">
            <v>85015104SADT01F6</v>
          </cell>
          <cell r="E33">
            <v>16</v>
          </cell>
          <cell r="F33">
            <v>8</v>
          </cell>
          <cell r="G33" t="e">
            <v>#N/A</v>
          </cell>
          <cell r="P33" t="e">
            <v>#N/A</v>
          </cell>
          <cell r="X33" t="e">
            <v>#N/A</v>
          </cell>
        </row>
        <row r="34">
          <cell r="C34" t="str">
            <v>85015104SADT01F7</v>
          </cell>
          <cell r="E34">
            <v>8</v>
          </cell>
          <cell r="F34">
            <v>4</v>
          </cell>
          <cell r="G34" t="e">
            <v>#N/A</v>
          </cell>
          <cell r="P34" t="e">
            <v>#N/A</v>
          </cell>
          <cell r="X34" t="e">
            <v>#N/A</v>
          </cell>
        </row>
        <row r="35">
          <cell r="C35" t="str">
            <v>85015104SADT01F8</v>
          </cell>
          <cell r="E35">
            <v>4</v>
          </cell>
          <cell r="F35">
            <v>2</v>
          </cell>
          <cell r="G35" t="e">
            <v>#N/A</v>
          </cell>
          <cell r="P35" t="e">
            <v>#N/A</v>
          </cell>
          <cell r="X35" t="e">
            <v>#N/A</v>
          </cell>
        </row>
        <row r="36">
          <cell r="C36" t="str">
            <v>85015104SADT01F9</v>
          </cell>
          <cell r="E36">
            <v>2</v>
          </cell>
          <cell r="G36" t="e">
            <v>#N/A</v>
          </cell>
          <cell r="P36" t="e">
            <v>#N/A</v>
          </cell>
          <cell r="X36" t="e">
            <v>#N/A</v>
          </cell>
        </row>
        <row r="37">
          <cell r="G37" t="e">
            <v>#N/A</v>
          </cell>
        </row>
        <row r="38">
          <cell r="C38" t="str">
            <v>SAHN</v>
          </cell>
          <cell r="E38" t="str">
            <v>DRY SIZE OF +50mm AFTER HAND NAPPED TO PASS 50mm</v>
          </cell>
          <cell r="J38" t="str">
            <v>Initial Mass (kg)</v>
          </cell>
          <cell r="L38" t="str">
            <v/>
          </cell>
          <cell r="N38" t="str">
            <v>Final Mass (kg)</v>
          </cell>
          <cell r="P38" t="e">
            <v>#N/A</v>
          </cell>
          <cell r="R38" t="str">
            <v>Loss / Gain %</v>
          </cell>
          <cell r="T38" t="str">
            <v/>
          </cell>
        </row>
        <row r="40">
          <cell r="C40" t="str">
            <v>85015104SAHN01F1</v>
          </cell>
          <cell r="F40">
            <v>50</v>
          </cell>
          <cell r="G40" t="e">
            <v>#N/A</v>
          </cell>
          <cell r="P40" t="e">
            <v>#N/A</v>
          </cell>
          <cell r="X40" t="e">
            <v>#N/A</v>
          </cell>
        </row>
        <row r="41">
          <cell r="C41" t="str">
            <v>85015104SAHN01F2</v>
          </cell>
          <cell r="E41">
            <v>50</v>
          </cell>
          <cell r="F41">
            <v>31.5</v>
          </cell>
          <cell r="G41" t="e">
            <v>#N/A</v>
          </cell>
          <cell r="P41" t="e">
            <v>#N/A</v>
          </cell>
          <cell r="X41" t="e">
            <v>#N/A</v>
          </cell>
        </row>
        <row r="42">
          <cell r="C42" t="str">
            <v>85015104SAHN01F3</v>
          </cell>
          <cell r="E42">
            <v>31.5</v>
          </cell>
          <cell r="F42">
            <v>25</v>
          </cell>
          <cell r="G42" t="e">
            <v>#N/A</v>
          </cell>
          <cell r="P42" t="e">
            <v>#N/A</v>
          </cell>
          <cell r="X42" t="e">
            <v>#N/A</v>
          </cell>
        </row>
        <row r="43">
          <cell r="C43" t="str">
            <v>85015104SAHN01F4</v>
          </cell>
          <cell r="E43">
            <v>25</v>
          </cell>
          <cell r="F43">
            <v>16</v>
          </cell>
          <cell r="G43" t="e">
            <v>#N/A</v>
          </cell>
          <cell r="P43" t="e">
            <v>#N/A</v>
          </cell>
          <cell r="X43" t="e">
            <v>#N/A</v>
          </cell>
        </row>
        <row r="44">
          <cell r="C44" t="str">
            <v>85015104SAHN01F5</v>
          </cell>
          <cell r="E44">
            <v>16</v>
          </cell>
          <cell r="F44">
            <v>8</v>
          </cell>
          <cell r="G44" t="e">
            <v>#N/A</v>
          </cell>
          <cell r="P44" t="e">
            <v>#N/A</v>
          </cell>
          <cell r="X44" t="e">
            <v>#N/A</v>
          </cell>
        </row>
        <row r="45">
          <cell r="C45" t="str">
            <v>85015104SAHN01F6</v>
          </cell>
          <cell r="E45">
            <v>8</v>
          </cell>
          <cell r="F45">
            <v>4</v>
          </cell>
          <cell r="G45" t="e">
            <v>#N/A</v>
          </cell>
          <cell r="P45" t="e">
            <v>#N/A</v>
          </cell>
          <cell r="X45" t="e">
            <v>#N/A</v>
          </cell>
        </row>
        <row r="46">
          <cell r="C46" t="str">
            <v>85015104SAHN01F7</v>
          </cell>
          <cell r="E46">
            <v>4</v>
          </cell>
          <cell r="F46">
            <v>2</v>
          </cell>
          <cell r="G46" t="e">
            <v>#N/A</v>
          </cell>
          <cell r="P46" t="e">
            <v>#N/A</v>
          </cell>
          <cell r="X46" t="e">
            <v>#N/A</v>
          </cell>
        </row>
        <row r="47">
          <cell r="C47" t="str">
            <v>85015104SAHN01F8</v>
          </cell>
          <cell r="E47">
            <v>2</v>
          </cell>
          <cell r="G47" t="e">
            <v>#N/A</v>
          </cell>
          <cell r="P47" t="e">
            <v>#N/A</v>
          </cell>
          <cell r="X47" t="e">
            <v>#N/A</v>
          </cell>
        </row>
        <row r="48">
          <cell r="G48" t="e">
            <v>#N/A</v>
          </cell>
        </row>
        <row r="49">
          <cell r="C49" t="str">
            <v>SREC</v>
          </cell>
          <cell r="E49" t="str">
            <v>CALCULATED DRY SIZE - AFTER +50mm HAND NAPPED</v>
          </cell>
          <cell r="J49" t="str">
            <v>Initial Mass (kg)</v>
          </cell>
          <cell r="L49" t="str">
            <v/>
          </cell>
          <cell r="N49" t="str">
            <v>Final Mass (kg)</v>
          </cell>
          <cell r="P49" t="e">
            <v>#N/A</v>
          </cell>
          <cell r="R49" t="str">
            <v>Loss / Gain %</v>
          </cell>
          <cell r="T49" t="str">
            <v/>
          </cell>
        </row>
        <row r="51">
          <cell r="C51" t="str">
            <v>85015104SREC01F1</v>
          </cell>
          <cell r="F51">
            <v>50</v>
          </cell>
          <cell r="G51" t="e">
            <v>#N/A</v>
          </cell>
          <cell r="P51" t="e">
            <v>#N/A</v>
          </cell>
          <cell r="X51" t="e">
            <v>#N/A</v>
          </cell>
        </row>
        <row r="52">
          <cell r="C52" t="str">
            <v>85015104SREC01F2</v>
          </cell>
          <cell r="E52">
            <v>50</v>
          </cell>
          <cell r="F52">
            <v>31.5</v>
          </cell>
          <cell r="G52" t="e">
            <v>#N/A</v>
          </cell>
          <cell r="P52" t="e">
            <v>#N/A</v>
          </cell>
          <cell r="X52" t="e">
            <v>#N/A</v>
          </cell>
        </row>
        <row r="53">
          <cell r="C53" t="str">
            <v>85015104SREC01F3</v>
          </cell>
          <cell r="E53">
            <v>31.5</v>
          </cell>
          <cell r="F53">
            <v>25</v>
          </cell>
          <cell r="G53" t="e">
            <v>#N/A</v>
          </cell>
          <cell r="P53" t="e">
            <v>#N/A</v>
          </cell>
          <cell r="X53" t="e">
            <v>#N/A</v>
          </cell>
        </row>
        <row r="54">
          <cell r="C54" t="str">
            <v>85015104SREC01F4</v>
          </cell>
          <cell r="E54">
            <v>25</v>
          </cell>
          <cell r="F54">
            <v>16</v>
          </cell>
          <cell r="G54" t="e">
            <v>#N/A</v>
          </cell>
          <cell r="P54" t="e">
            <v>#N/A</v>
          </cell>
          <cell r="X54" t="e">
            <v>#N/A</v>
          </cell>
        </row>
        <row r="55">
          <cell r="C55" t="str">
            <v>85015104SREC01F5</v>
          </cell>
          <cell r="E55">
            <v>16</v>
          </cell>
          <cell r="F55">
            <v>8</v>
          </cell>
          <cell r="G55" t="e">
            <v>#N/A</v>
          </cell>
          <cell r="P55" t="e">
            <v>#N/A</v>
          </cell>
          <cell r="X55" t="e">
            <v>#N/A</v>
          </cell>
        </row>
        <row r="56">
          <cell r="C56" t="str">
            <v>85015104SREC01F6</v>
          </cell>
          <cell r="E56">
            <v>8</v>
          </cell>
          <cell r="F56">
            <v>4</v>
          </cell>
          <cell r="G56" t="e">
            <v>#N/A</v>
          </cell>
          <cell r="P56" t="e">
            <v>#N/A</v>
          </cell>
          <cell r="X56" t="e">
            <v>#N/A</v>
          </cell>
        </row>
        <row r="57">
          <cell r="C57" t="str">
            <v>85015104SREC01F7</v>
          </cell>
          <cell r="E57">
            <v>4</v>
          </cell>
          <cell r="F57">
            <v>2</v>
          </cell>
          <cell r="G57" t="e">
            <v>#N/A</v>
          </cell>
          <cell r="P57" t="e">
            <v>#N/A</v>
          </cell>
          <cell r="X57" t="e">
            <v>#N/A</v>
          </cell>
        </row>
        <row r="58">
          <cell r="C58" t="str">
            <v>85015104SREC01F8</v>
          </cell>
          <cell r="E58">
            <v>2</v>
          </cell>
          <cell r="G58" t="e">
            <v>#N/A</v>
          </cell>
          <cell r="P58" t="e">
            <v>#N/A</v>
          </cell>
          <cell r="X58" t="e">
            <v>#N/A</v>
          </cell>
        </row>
        <row r="59">
          <cell r="G59" t="e">
            <v>#N/A</v>
          </cell>
        </row>
        <row r="60">
          <cell r="C60" t="str">
            <v>SAWT</v>
          </cell>
          <cell r="E60" t="str">
            <v>WET SIZING AFTER WET TUMBLE</v>
          </cell>
          <cell r="J60" t="str">
            <v>Initial Mass (kg)</v>
          </cell>
          <cell r="L60" t="str">
            <v/>
          </cell>
          <cell r="N60" t="str">
            <v>Final Mass (kg)</v>
          </cell>
          <cell r="P60" t="e">
            <v>#N/A</v>
          </cell>
          <cell r="R60" t="str">
            <v>Loss / Gain %</v>
          </cell>
          <cell r="T60" t="str">
            <v/>
          </cell>
        </row>
        <row r="62">
          <cell r="C62" t="str">
            <v>85015104SAWT01F1</v>
          </cell>
          <cell r="F62">
            <v>31.5</v>
          </cell>
          <cell r="G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N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T62" t="e">
            <v>#N/A</v>
          </cell>
          <cell r="X62" t="e">
            <v>#N/A</v>
          </cell>
        </row>
        <row r="63">
          <cell r="C63" t="str">
            <v>85015104SAWT01F2</v>
          </cell>
          <cell r="E63">
            <v>31.5</v>
          </cell>
          <cell r="F63">
            <v>25</v>
          </cell>
          <cell r="G63" t="e">
            <v>#N/A</v>
          </cell>
          <cell r="P63" t="e">
            <v>#N/A</v>
          </cell>
          <cell r="X63" t="e">
            <v>#N/A</v>
          </cell>
        </row>
        <row r="64">
          <cell r="C64" t="str">
            <v>85015104SAWT01F3</v>
          </cell>
          <cell r="E64">
            <v>25</v>
          </cell>
          <cell r="F64">
            <v>16</v>
          </cell>
          <cell r="G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N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T64" t="e">
            <v>#N/A</v>
          </cell>
          <cell r="X64" t="e">
            <v>#N/A</v>
          </cell>
        </row>
        <row r="65">
          <cell r="C65" t="str">
            <v>85015104SAWT01F4</v>
          </cell>
          <cell r="E65">
            <v>16</v>
          </cell>
          <cell r="F65">
            <v>8</v>
          </cell>
          <cell r="G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N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T65" t="e">
            <v>#N/A</v>
          </cell>
          <cell r="X65" t="e">
            <v>#N/A</v>
          </cell>
        </row>
        <row r="66">
          <cell r="C66" t="str">
            <v>85015104SAWT01F5</v>
          </cell>
          <cell r="E66">
            <v>8</v>
          </cell>
          <cell r="F66">
            <v>4</v>
          </cell>
          <cell r="G66" t="e">
            <v>#N/A</v>
          </cell>
          <cell r="I66" t="e">
            <v>#N/A</v>
          </cell>
          <cell r="J66" t="e">
            <v>#N/A</v>
          </cell>
          <cell r="K66" t="e">
            <v>#N/A</v>
          </cell>
          <cell r="L66" t="e">
            <v>#N/A</v>
          </cell>
          <cell r="N66" t="e">
            <v>#N/A</v>
          </cell>
          <cell r="P66" t="e">
            <v>#N/A</v>
          </cell>
          <cell r="Q66" t="e">
            <v>#N/A</v>
          </cell>
          <cell r="R66" t="e">
            <v>#N/A</v>
          </cell>
          <cell r="T66" t="e">
            <v>#N/A</v>
          </cell>
          <cell r="X66" t="e">
            <v>#N/A</v>
          </cell>
        </row>
        <row r="67">
          <cell r="C67" t="str">
            <v>85015104SAWT01F6</v>
          </cell>
          <cell r="E67">
            <v>4</v>
          </cell>
          <cell r="F67">
            <v>2</v>
          </cell>
          <cell r="G67" t="e">
            <v>#N/A</v>
          </cell>
          <cell r="P67" t="e">
            <v>#N/A</v>
          </cell>
          <cell r="X67" t="e">
            <v>#N/A</v>
          </cell>
        </row>
        <row r="68">
          <cell r="C68" t="str">
            <v>85015104SAWT01F7</v>
          </cell>
          <cell r="E68">
            <v>2</v>
          </cell>
          <cell r="F68">
            <v>1</v>
          </cell>
          <cell r="G68" t="e">
            <v>#N/A</v>
          </cell>
          <cell r="I68" t="e">
            <v>#N/A</v>
          </cell>
          <cell r="J68" t="e">
            <v>#N/A</v>
          </cell>
          <cell r="K68" t="e">
            <v>#N/A</v>
          </cell>
          <cell r="L68" t="e">
            <v>#N/A</v>
          </cell>
          <cell r="N68" t="e">
            <v>#N/A</v>
          </cell>
          <cell r="P68" t="e">
            <v>#N/A</v>
          </cell>
          <cell r="Q68" t="e">
            <v>#N/A</v>
          </cell>
          <cell r="R68" t="e">
            <v>#N/A</v>
          </cell>
          <cell r="T68" t="e">
            <v>#N/A</v>
          </cell>
          <cell r="X68" t="e">
            <v>#N/A</v>
          </cell>
        </row>
        <row r="69">
          <cell r="C69" t="str">
            <v>85015104SAWT01F8</v>
          </cell>
          <cell r="E69">
            <v>1</v>
          </cell>
          <cell r="F69">
            <v>0.5</v>
          </cell>
          <cell r="G69" t="e">
            <v>#N/A</v>
          </cell>
          <cell r="P69" t="e">
            <v>#N/A</v>
          </cell>
          <cell r="X69" t="e">
            <v>#N/A</v>
          </cell>
        </row>
        <row r="70">
          <cell r="C70" t="str">
            <v>85015104SAWT01F9</v>
          </cell>
          <cell r="E70">
            <v>0.5</v>
          </cell>
          <cell r="F70">
            <v>0.25</v>
          </cell>
          <cell r="G70" t="e">
            <v>#N/A</v>
          </cell>
          <cell r="I70" t="e">
            <v>#N/A</v>
          </cell>
          <cell r="J70" t="e">
            <v>#N/A</v>
          </cell>
          <cell r="K70" t="e">
            <v>#N/A</v>
          </cell>
          <cell r="L70" t="e">
            <v>#N/A</v>
          </cell>
          <cell r="N70" t="e">
            <v>#N/A</v>
          </cell>
          <cell r="P70" t="e">
            <v>#N/A</v>
          </cell>
          <cell r="Q70" t="e">
            <v>#N/A</v>
          </cell>
          <cell r="R70" t="e">
            <v>#N/A</v>
          </cell>
          <cell r="T70" t="e">
            <v>#N/A</v>
          </cell>
          <cell r="X70" t="e">
            <v>#N/A</v>
          </cell>
        </row>
        <row r="71">
          <cell r="C71" t="str">
            <v>85015104SAWT01F10</v>
          </cell>
          <cell r="E71">
            <v>0.25</v>
          </cell>
          <cell r="F71">
            <v>0.125</v>
          </cell>
          <cell r="G71" t="e">
            <v>#N/A</v>
          </cell>
          <cell r="I71" t="e">
            <v>#N/A</v>
          </cell>
          <cell r="J71" t="e">
            <v>#N/A</v>
          </cell>
          <cell r="L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T71" t="e">
            <v>#N/A</v>
          </cell>
          <cell r="X71" t="e">
            <v>#N/A</v>
          </cell>
        </row>
        <row r="72">
          <cell r="C72" t="str">
            <v>85015104SAWT01F11</v>
          </cell>
          <cell r="E72">
            <v>0.125</v>
          </cell>
          <cell r="F72">
            <v>6.3E-2</v>
          </cell>
          <cell r="G72" t="e">
            <v>#N/A</v>
          </cell>
          <cell r="I72" t="e">
            <v>#N/A</v>
          </cell>
          <cell r="J72" t="e">
            <v>#N/A</v>
          </cell>
          <cell r="L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T72" t="e">
            <v>#N/A</v>
          </cell>
          <cell r="X72" t="e">
            <v>#N/A</v>
          </cell>
        </row>
        <row r="73">
          <cell r="C73" t="str">
            <v>85015104SAWT01F12</v>
          </cell>
          <cell r="E73">
            <v>6.3E-2</v>
          </cell>
          <cell r="F73">
            <v>3.7999999999999999E-2</v>
          </cell>
          <cell r="G73" t="e">
            <v>#N/A</v>
          </cell>
          <cell r="I73" t="e">
            <v>#N/A</v>
          </cell>
          <cell r="J73" t="e">
            <v>#N/A</v>
          </cell>
          <cell r="L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T73" t="e">
            <v>#N/A</v>
          </cell>
          <cell r="X73" t="e">
            <v>#N/A</v>
          </cell>
        </row>
        <row r="74">
          <cell r="C74" t="str">
            <v>85015104SAWT01F13</v>
          </cell>
          <cell r="E74">
            <v>3.7999999999999999E-2</v>
          </cell>
          <cell r="G74" t="e">
            <v>#N/A</v>
          </cell>
          <cell r="I74" t="e">
            <v>#N/A</v>
          </cell>
          <cell r="J74" t="e">
            <v>#N/A</v>
          </cell>
          <cell r="L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T74" t="e">
            <v>#N/A</v>
          </cell>
          <cell r="X74" t="e">
            <v>#N/A</v>
          </cell>
        </row>
        <row r="75">
          <cell r="G75" t="e">
            <v>#N/A</v>
          </cell>
        </row>
        <row r="76">
          <cell r="C76" t="str">
            <v>FS01</v>
          </cell>
          <cell r="E76" t="str">
            <v xml:space="preserve">FLOAT SINK </v>
          </cell>
          <cell r="G76" t="str">
            <v>+31.5mm</v>
          </cell>
          <cell r="J76" t="str">
            <v>Initial Mass (kg)</v>
          </cell>
          <cell r="L76" t="str">
            <v/>
          </cell>
          <cell r="N76" t="str">
            <v>Final Mass (kg)</v>
          </cell>
          <cell r="P76" t="e">
            <v>#N/A</v>
          </cell>
          <cell r="R76" t="str">
            <v>Loss / Gain %</v>
          </cell>
          <cell r="T76" t="str">
            <v/>
          </cell>
          <cell r="U76" t="str">
            <v>Mass % of Sample</v>
          </cell>
          <cell r="W76" t="e">
            <v>#N/A</v>
          </cell>
        </row>
        <row r="78">
          <cell r="C78" t="str">
            <v>85015104FS01F1</v>
          </cell>
          <cell r="F78" t="str">
            <v>F1.45</v>
          </cell>
          <cell r="G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</row>
        <row r="79">
          <cell r="C79" t="str">
            <v>85015104FS01F2</v>
          </cell>
          <cell r="E79" t="str">
            <v>S1.45</v>
          </cell>
          <cell r="F79" t="str">
            <v>F1.50</v>
          </cell>
          <cell r="G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</row>
        <row r="80">
          <cell r="C80" t="str">
            <v>85015104FS01F3</v>
          </cell>
          <cell r="E80" t="str">
            <v>S1.50</v>
          </cell>
          <cell r="F80" t="str">
            <v>F1.60</v>
          </cell>
          <cell r="G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</row>
        <row r="81">
          <cell r="C81" t="str">
            <v>85015104FS01F4</v>
          </cell>
          <cell r="E81" t="str">
            <v>S1.60</v>
          </cell>
          <cell r="F81" t="str">
            <v>F1.80</v>
          </cell>
          <cell r="G81" t="e">
            <v>#N/A</v>
          </cell>
          <cell r="I81" t="e">
            <v>#N/A</v>
          </cell>
          <cell r="J81" t="e">
            <v>#N/A</v>
          </cell>
          <cell r="K81" t="e">
            <v>#N/A</v>
          </cell>
          <cell r="L81" t="e">
            <v>#N/A</v>
          </cell>
          <cell r="N81" t="e">
            <v>#N/A</v>
          </cell>
          <cell r="O81" t="e">
            <v>#N/A</v>
          </cell>
          <cell r="P81" t="e">
            <v>#N/A</v>
          </cell>
          <cell r="Q81" t="e">
            <v>#N/A</v>
          </cell>
          <cell r="R81" t="e">
            <v>#N/A</v>
          </cell>
          <cell r="S81" t="e">
            <v>#N/A</v>
          </cell>
          <cell r="T81" t="e">
            <v>#N/A</v>
          </cell>
          <cell r="V81" t="e">
            <v>#N/A</v>
          </cell>
          <cell r="W81" t="e">
            <v>#N/A</v>
          </cell>
          <cell r="X81" t="e">
            <v>#N/A</v>
          </cell>
        </row>
        <row r="82">
          <cell r="C82" t="str">
            <v>85015104FS01F5</v>
          </cell>
          <cell r="E82" t="str">
            <v>S1.80</v>
          </cell>
          <cell r="F82" t="str">
            <v>F2.00</v>
          </cell>
          <cell r="G82" t="e">
            <v>#N/A</v>
          </cell>
          <cell r="I82" t="e">
            <v>#N/A</v>
          </cell>
          <cell r="J82" t="e">
            <v>#N/A</v>
          </cell>
          <cell r="K82" t="e">
            <v>#N/A</v>
          </cell>
          <cell r="L82" t="e">
            <v>#N/A</v>
          </cell>
          <cell r="N82" t="e">
            <v>#N/A</v>
          </cell>
          <cell r="O82" t="e">
            <v>#N/A</v>
          </cell>
          <cell r="P82" t="e">
            <v>#N/A</v>
          </cell>
          <cell r="Q82" t="e">
            <v>#N/A</v>
          </cell>
          <cell r="R82" t="e">
            <v>#N/A</v>
          </cell>
          <cell r="S82" t="e">
            <v>#N/A</v>
          </cell>
          <cell r="T82" t="e">
            <v>#N/A</v>
          </cell>
          <cell r="V82" t="e">
            <v>#N/A</v>
          </cell>
          <cell r="W82" t="e">
            <v>#N/A</v>
          </cell>
          <cell r="X82" t="e">
            <v>#N/A</v>
          </cell>
        </row>
        <row r="83">
          <cell r="C83" t="str">
            <v>85015104FS01F6</v>
          </cell>
          <cell r="E83" t="str">
            <v>S2.00</v>
          </cell>
          <cell r="F83" t="str">
            <v>F2.20</v>
          </cell>
          <cell r="G83" t="e">
            <v>#N/A</v>
          </cell>
          <cell r="I83" t="e">
            <v>#N/A</v>
          </cell>
          <cell r="J83" t="e">
            <v>#N/A</v>
          </cell>
          <cell r="K83" t="e">
            <v>#N/A</v>
          </cell>
          <cell r="L83" t="e">
            <v>#N/A</v>
          </cell>
          <cell r="N83" t="e">
            <v>#N/A</v>
          </cell>
          <cell r="O83" t="e">
            <v>#N/A</v>
          </cell>
          <cell r="P83" t="e">
            <v>#N/A</v>
          </cell>
          <cell r="Q83" t="e">
            <v>#N/A</v>
          </cell>
          <cell r="R83" t="e">
            <v>#N/A</v>
          </cell>
          <cell r="S83" t="e">
            <v>#N/A</v>
          </cell>
          <cell r="T83" t="e">
            <v>#N/A</v>
          </cell>
          <cell r="V83" t="e">
            <v>#N/A</v>
          </cell>
          <cell r="W83" t="e">
            <v>#N/A</v>
          </cell>
          <cell r="X83" t="e">
            <v>#N/A</v>
          </cell>
        </row>
        <row r="84">
          <cell r="C84" t="str">
            <v>85015104FS01F7</v>
          </cell>
          <cell r="E84" t="str">
            <v>S2.20</v>
          </cell>
          <cell r="G84" t="e">
            <v>#N/A</v>
          </cell>
          <cell r="I84" t="e">
            <v>#N/A</v>
          </cell>
          <cell r="J84" t="e">
            <v>#N/A</v>
          </cell>
          <cell r="K84" t="e">
            <v>#N/A</v>
          </cell>
          <cell r="L84" t="e">
            <v>#N/A</v>
          </cell>
          <cell r="N84" t="e">
            <v>#N/A</v>
          </cell>
          <cell r="O84" t="e">
            <v>#N/A</v>
          </cell>
          <cell r="P84" t="e">
            <v>#N/A</v>
          </cell>
          <cell r="Q84" t="e">
            <v>#N/A</v>
          </cell>
          <cell r="R84" t="e">
            <v>#N/A</v>
          </cell>
          <cell r="S84" t="e">
            <v>#N/A</v>
          </cell>
          <cell r="T84" t="e">
            <v>#N/A</v>
          </cell>
          <cell r="V84" t="e">
            <v>#N/A</v>
          </cell>
          <cell r="W84" t="e">
            <v>#N/A</v>
          </cell>
          <cell r="X84" t="e">
            <v>#N/A</v>
          </cell>
        </row>
        <row r="85">
          <cell r="G85" t="e">
            <v>#N/A</v>
          </cell>
        </row>
        <row r="86">
          <cell r="C86" t="str">
            <v>FS02</v>
          </cell>
          <cell r="E86" t="str">
            <v xml:space="preserve">FLOAT SINK </v>
          </cell>
          <cell r="G86" t="str">
            <v>-31.5 + 16.0mm</v>
          </cell>
          <cell r="J86" t="str">
            <v>Initial Mass (kg)</v>
          </cell>
          <cell r="L86" t="str">
            <v/>
          </cell>
          <cell r="N86" t="str">
            <v>Final Mass (kg)</v>
          </cell>
          <cell r="P86" t="e">
            <v>#N/A</v>
          </cell>
          <cell r="R86" t="str">
            <v>Loss / Gain %</v>
          </cell>
          <cell r="T86" t="str">
            <v/>
          </cell>
          <cell r="U86" t="str">
            <v>Mass % of Sample</v>
          </cell>
          <cell r="W86" t="e">
            <v>#N/A</v>
          </cell>
        </row>
        <row r="88">
          <cell r="C88" t="str">
            <v>85015104FS02F1</v>
          </cell>
          <cell r="F88" t="str">
            <v>F1.45</v>
          </cell>
          <cell r="G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</row>
        <row r="89">
          <cell r="C89" t="str">
            <v>85015104FS02F2</v>
          </cell>
          <cell r="E89" t="str">
            <v>S1.45</v>
          </cell>
          <cell r="F89" t="str">
            <v>F1.50</v>
          </cell>
          <cell r="G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</row>
        <row r="90">
          <cell r="C90" t="str">
            <v>85015104FS02F3</v>
          </cell>
          <cell r="E90" t="str">
            <v>S1.50</v>
          </cell>
          <cell r="F90" t="str">
            <v>F1.60</v>
          </cell>
          <cell r="G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</row>
        <row r="91">
          <cell r="C91" t="str">
            <v>85015104FS02F4</v>
          </cell>
          <cell r="E91" t="str">
            <v>S1.60</v>
          </cell>
          <cell r="F91" t="str">
            <v>F1.80</v>
          </cell>
          <cell r="G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</row>
        <row r="92">
          <cell r="C92" t="str">
            <v>85015104FS02F5</v>
          </cell>
          <cell r="E92" t="str">
            <v>S1.80</v>
          </cell>
          <cell r="F92" t="str">
            <v>F2.00</v>
          </cell>
          <cell r="G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</row>
        <row r="93">
          <cell r="C93" t="str">
            <v>85015104FS02F6</v>
          </cell>
          <cell r="E93" t="str">
            <v>S2.00</v>
          </cell>
          <cell r="F93" t="str">
            <v>F2.20</v>
          </cell>
          <cell r="G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</row>
        <row r="94">
          <cell r="C94" t="str">
            <v>85015104FS02F7</v>
          </cell>
          <cell r="E94" t="str">
            <v>S2.20</v>
          </cell>
          <cell r="G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</row>
        <row r="95">
          <cell r="G95" t="e">
            <v>#N/A</v>
          </cell>
        </row>
        <row r="96">
          <cell r="C96" t="str">
            <v>FS03</v>
          </cell>
          <cell r="E96" t="str">
            <v>FLOAT SINK</v>
          </cell>
          <cell r="G96" t="str">
            <v>-16.0 + 8.0mm</v>
          </cell>
          <cell r="J96" t="str">
            <v>Initial Mass (kg)</v>
          </cell>
          <cell r="L96" t="str">
            <v/>
          </cell>
          <cell r="N96" t="str">
            <v>Final Mass (kg)</v>
          </cell>
          <cell r="P96" t="e">
            <v>#N/A</v>
          </cell>
          <cell r="R96" t="str">
            <v>Loss / Gain %</v>
          </cell>
          <cell r="T96" t="str">
            <v/>
          </cell>
          <cell r="U96" t="str">
            <v>Mass % of Sample</v>
          </cell>
          <cell r="W96" t="e">
            <v>#N/A</v>
          </cell>
        </row>
        <row r="98">
          <cell r="C98" t="str">
            <v>85015104FS03F1</v>
          </cell>
          <cell r="F98" t="str">
            <v>F1.45</v>
          </cell>
          <cell r="G98" t="e">
            <v>#N/A</v>
          </cell>
          <cell r="I98" t="e">
            <v>#N/A</v>
          </cell>
          <cell r="J98" t="e">
            <v>#N/A</v>
          </cell>
          <cell r="K98" t="e">
            <v>#N/A</v>
          </cell>
          <cell r="L98" t="e">
            <v>#N/A</v>
          </cell>
          <cell r="N98" t="e">
            <v>#N/A</v>
          </cell>
          <cell r="O98" t="e">
            <v>#N/A</v>
          </cell>
          <cell r="P98" t="e">
            <v>#N/A</v>
          </cell>
          <cell r="Q98" t="e">
            <v>#N/A</v>
          </cell>
          <cell r="R98" t="e">
            <v>#N/A</v>
          </cell>
          <cell r="S98" t="e">
            <v>#N/A</v>
          </cell>
          <cell r="T98" t="e">
            <v>#N/A</v>
          </cell>
          <cell r="V98" t="e">
            <v>#N/A</v>
          </cell>
          <cell r="W98" t="e">
            <v>#N/A</v>
          </cell>
          <cell r="X98" t="e">
            <v>#N/A</v>
          </cell>
        </row>
        <row r="99">
          <cell r="C99" t="str">
            <v>85015104FS03F2</v>
          </cell>
          <cell r="E99" t="str">
            <v>S1.45</v>
          </cell>
          <cell r="F99" t="str">
            <v>F1.50</v>
          </cell>
          <cell r="G99" t="e">
            <v>#N/A</v>
          </cell>
          <cell r="I99" t="e">
            <v>#N/A</v>
          </cell>
          <cell r="J99" t="e">
            <v>#N/A</v>
          </cell>
          <cell r="K99" t="e">
            <v>#N/A</v>
          </cell>
          <cell r="L99" t="e">
            <v>#N/A</v>
          </cell>
          <cell r="N99" t="e">
            <v>#N/A</v>
          </cell>
          <cell r="O99" t="e">
            <v>#N/A</v>
          </cell>
          <cell r="P99" t="e">
            <v>#N/A</v>
          </cell>
          <cell r="Q99" t="e">
            <v>#N/A</v>
          </cell>
          <cell r="R99" t="e">
            <v>#N/A</v>
          </cell>
          <cell r="S99" t="e">
            <v>#N/A</v>
          </cell>
          <cell r="T99" t="e">
            <v>#N/A</v>
          </cell>
          <cell r="V99" t="e">
            <v>#N/A</v>
          </cell>
          <cell r="W99" t="e">
            <v>#N/A</v>
          </cell>
          <cell r="X99" t="e">
            <v>#N/A</v>
          </cell>
        </row>
        <row r="100">
          <cell r="C100" t="str">
            <v>85015104FS03F3</v>
          </cell>
          <cell r="E100" t="str">
            <v>S1.50</v>
          </cell>
          <cell r="F100" t="str">
            <v>F1.60</v>
          </cell>
          <cell r="G100" t="e">
            <v>#N/A</v>
          </cell>
          <cell r="I100" t="e">
            <v>#N/A</v>
          </cell>
          <cell r="J100" t="e">
            <v>#N/A</v>
          </cell>
          <cell r="K100" t="e">
            <v>#N/A</v>
          </cell>
          <cell r="L100" t="e">
            <v>#N/A</v>
          </cell>
          <cell r="N100" t="e">
            <v>#N/A</v>
          </cell>
          <cell r="O100" t="e">
            <v>#N/A</v>
          </cell>
          <cell r="P100" t="e">
            <v>#N/A</v>
          </cell>
          <cell r="Q100" t="e">
            <v>#N/A</v>
          </cell>
          <cell r="R100" t="e">
            <v>#N/A</v>
          </cell>
          <cell r="S100" t="e">
            <v>#N/A</v>
          </cell>
          <cell r="T100" t="e">
            <v>#N/A</v>
          </cell>
          <cell r="V100" t="e">
            <v>#N/A</v>
          </cell>
          <cell r="W100" t="e">
            <v>#N/A</v>
          </cell>
          <cell r="X100" t="e">
            <v>#N/A</v>
          </cell>
        </row>
        <row r="101">
          <cell r="C101" t="str">
            <v>85015104FS03F4</v>
          </cell>
          <cell r="E101" t="str">
            <v>S1.60</v>
          </cell>
          <cell r="F101" t="str">
            <v>F1.80</v>
          </cell>
          <cell r="G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</row>
        <row r="102">
          <cell r="C102" t="str">
            <v>85015104FS03F5</v>
          </cell>
          <cell r="E102" t="str">
            <v>S1.80</v>
          </cell>
          <cell r="F102" t="str">
            <v>F2.00</v>
          </cell>
          <cell r="G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</row>
        <row r="103">
          <cell r="C103" t="str">
            <v>85015104FS03F6</v>
          </cell>
          <cell r="E103" t="str">
            <v>S2.00</v>
          </cell>
          <cell r="F103" t="str">
            <v>F2.20</v>
          </cell>
          <cell r="G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</row>
        <row r="104">
          <cell r="C104" t="str">
            <v>85015104FS03F7</v>
          </cell>
          <cell r="E104" t="str">
            <v>S2.20</v>
          </cell>
          <cell r="G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</row>
        <row r="105">
          <cell r="G105" t="e">
            <v>#N/A</v>
          </cell>
        </row>
        <row r="106">
          <cell r="C106" t="str">
            <v>FS04</v>
          </cell>
          <cell r="E106" t="str">
            <v xml:space="preserve">FLOAT SINK </v>
          </cell>
          <cell r="G106" t="str">
            <v>-8.0 + 4.0mm</v>
          </cell>
          <cell r="J106" t="str">
            <v>Initial Mass (kg)</v>
          </cell>
          <cell r="L106" t="str">
            <v/>
          </cell>
          <cell r="N106" t="str">
            <v>Final Mass (kg)</v>
          </cell>
          <cell r="P106" t="e">
            <v>#N/A</v>
          </cell>
          <cell r="R106" t="str">
            <v>Loss / Gain %</v>
          </cell>
          <cell r="T106" t="str">
            <v/>
          </cell>
          <cell r="U106" t="str">
            <v>Mass % of Sample</v>
          </cell>
          <cell r="W106" t="e">
            <v>#N/A</v>
          </cell>
        </row>
        <row r="108">
          <cell r="C108" t="str">
            <v>85015104FS04F1</v>
          </cell>
          <cell r="F108" t="str">
            <v>F1.45</v>
          </cell>
          <cell r="G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</row>
        <row r="109">
          <cell r="C109" t="str">
            <v>85015104FS04F2</v>
          </cell>
          <cell r="E109" t="str">
            <v>S1.45</v>
          </cell>
          <cell r="F109" t="str">
            <v>F1.50</v>
          </cell>
          <cell r="G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</row>
        <row r="110">
          <cell r="C110" t="str">
            <v>85015104FS04F3</v>
          </cell>
          <cell r="E110" t="str">
            <v>S1.50</v>
          </cell>
          <cell r="F110" t="str">
            <v>F1.60</v>
          </cell>
          <cell r="G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</row>
        <row r="111">
          <cell r="C111" t="str">
            <v>85015104FS04F4</v>
          </cell>
          <cell r="E111" t="str">
            <v>S1.60</v>
          </cell>
          <cell r="F111" t="str">
            <v>F1.80</v>
          </cell>
          <cell r="G111" t="e">
            <v>#N/A</v>
          </cell>
          <cell r="I111" t="e">
            <v>#N/A</v>
          </cell>
          <cell r="J111" t="e">
            <v>#N/A</v>
          </cell>
          <cell r="K111" t="e">
            <v>#N/A</v>
          </cell>
          <cell r="L111" t="e">
            <v>#N/A</v>
          </cell>
          <cell r="N111" t="e">
            <v>#N/A</v>
          </cell>
          <cell r="O111" t="e">
            <v>#N/A</v>
          </cell>
          <cell r="P111" t="e">
            <v>#N/A</v>
          </cell>
          <cell r="Q111" t="e">
            <v>#N/A</v>
          </cell>
          <cell r="R111" t="e">
            <v>#N/A</v>
          </cell>
          <cell r="S111" t="e">
            <v>#N/A</v>
          </cell>
          <cell r="T111" t="e">
            <v>#N/A</v>
          </cell>
          <cell r="V111" t="e">
            <v>#N/A</v>
          </cell>
          <cell r="W111" t="e">
            <v>#N/A</v>
          </cell>
          <cell r="X111" t="e">
            <v>#N/A</v>
          </cell>
        </row>
        <row r="112">
          <cell r="C112" t="str">
            <v>85015104FS04F5</v>
          </cell>
          <cell r="E112" t="str">
            <v>S1.80</v>
          </cell>
          <cell r="F112" t="str">
            <v>F2.00</v>
          </cell>
          <cell r="G112" t="e">
            <v>#N/A</v>
          </cell>
          <cell r="I112" t="e">
            <v>#N/A</v>
          </cell>
          <cell r="J112" t="e">
            <v>#N/A</v>
          </cell>
          <cell r="K112" t="e">
            <v>#N/A</v>
          </cell>
          <cell r="L112" t="e">
            <v>#N/A</v>
          </cell>
          <cell r="N112" t="e">
            <v>#N/A</v>
          </cell>
          <cell r="O112" t="e">
            <v>#N/A</v>
          </cell>
          <cell r="P112" t="e">
            <v>#N/A</v>
          </cell>
          <cell r="Q112" t="e">
            <v>#N/A</v>
          </cell>
          <cell r="R112" t="e">
            <v>#N/A</v>
          </cell>
          <cell r="S112" t="e">
            <v>#N/A</v>
          </cell>
          <cell r="T112" t="e">
            <v>#N/A</v>
          </cell>
          <cell r="V112" t="e">
            <v>#N/A</v>
          </cell>
          <cell r="W112" t="e">
            <v>#N/A</v>
          </cell>
          <cell r="X112" t="e">
            <v>#N/A</v>
          </cell>
        </row>
        <row r="113">
          <cell r="C113" t="str">
            <v>85015104FS04F6</v>
          </cell>
          <cell r="E113" t="str">
            <v>S2.00</v>
          </cell>
          <cell r="F113" t="str">
            <v>F2.20</v>
          </cell>
          <cell r="G113" t="e">
            <v>#N/A</v>
          </cell>
          <cell r="I113" t="e">
            <v>#N/A</v>
          </cell>
          <cell r="J113" t="e">
            <v>#N/A</v>
          </cell>
          <cell r="K113" t="e">
            <v>#N/A</v>
          </cell>
          <cell r="L113" t="e">
            <v>#N/A</v>
          </cell>
          <cell r="N113" t="e">
            <v>#N/A</v>
          </cell>
          <cell r="O113" t="e">
            <v>#N/A</v>
          </cell>
          <cell r="P113" t="e">
            <v>#N/A</v>
          </cell>
          <cell r="Q113" t="e">
            <v>#N/A</v>
          </cell>
          <cell r="R113" t="e">
            <v>#N/A</v>
          </cell>
          <cell r="S113" t="e">
            <v>#N/A</v>
          </cell>
          <cell r="T113" t="e">
            <v>#N/A</v>
          </cell>
          <cell r="V113" t="e">
            <v>#N/A</v>
          </cell>
          <cell r="W113" t="e">
            <v>#N/A</v>
          </cell>
          <cell r="X113" t="e">
            <v>#N/A</v>
          </cell>
        </row>
        <row r="114">
          <cell r="C114" t="str">
            <v>85015104FS04F7</v>
          </cell>
          <cell r="E114" t="str">
            <v>S2.20</v>
          </cell>
          <cell r="G114" t="e">
            <v>#N/A</v>
          </cell>
          <cell r="I114" t="e">
            <v>#N/A</v>
          </cell>
          <cell r="J114" t="e">
            <v>#N/A</v>
          </cell>
          <cell r="K114" t="e">
            <v>#N/A</v>
          </cell>
          <cell r="L114" t="e">
            <v>#N/A</v>
          </cell>
          <cell r="N114" t="e">
            <v>#N/A</v>
          </cell>
          <cell r="O114" t="e">
            <v>#N/A</v>
          </cell>
          <cell r="P114" t="e">
            <v>#N/A</v>
          </cell>
          <cell r="Q114" t="e">
            <v>#N/A</v>
          </cell>
          <cell r="R114" t="e">
            <v>#N/A</v>
          </cell>
          <cell r="S114" t="e">
            <v>#N/A</v>
          </cell>
          <cell r="T114" t="e">
            <v>#N/A</v>
          </cell>
          <cell r="V114" t="e">
            <v>#N/A</v>
          </cell>
          <cell r="W114" t="e">
            <v>#N/A</v>
          </cell>
          <cell r="X114" t="e">
            <v>#N/A</v>
          </cell>
        </row>
        <row r="115">
          <cell r="G115" t="e">
            <v>#N/A</v>
          </cell>
        </row>
        <row r="116">
          <cell r="C116" t="str">
            <v>FS05</v>
          </cell>
          <cell r="E116" t="str">
            <v>FLOAT SINK</v>
          </cell>
          <cell r="G116" t="str">
            <v>-4.0 + 1.0mm</v>
          </cell>
          <cell r="J116" t="str">
            <v>Initial Mass (kg)</v>
          </cell>
          <cell r="L116" t="str">
            <v/>
          </cell>
          <cell r="N116" t="str">
            <v>Final Mass (kg)</v>
          </cell>
          <cell r="P116" t="e">
            <v>#N/A</v>
          </cell>
          <cell r="R116" t="str">
            <v>Loss / Gain %</v>
          </cell>
          <cell r="T116" t="str">
            <v/>
          </cell>
          <cell r="U116" t="str">
            <v>Mass % of Sample</v>
          </cell>
          <cell r="W116" t="e">
            <v>#N/A</v>
          </cell>
        </row>
        <row r="118">
          <cell r="C118" t="str">
            <v>85015104FS05F1</v>
          </cell>
          <cell r="F118" t="str">
            <v>F1.45</v>
          </cell>
          <cell r="G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</row>
        <row r="119">
          <cell r="C119" t="str">
            <v>85015104FS05F2</v>
          </cell>
          <cell r="E119" t="str">
            <v>S1.45</v>
          </cell>
          <cell r="F119" t="str">
            <v>F1.50</v>
          </cell>
          <cell r="G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</row>
        <row r="120">
          <cell r="C120" t="str">
            <v>85015104FS05F3</v>
          </cell>
          <cell r="E120" t="str">
            <v>S1.50</v>
          </cell>
          <cell r="F120" t="str">
            <v>F1.60</v>
          </cell>
          <cell r="G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</row>
        <row r="121">
          <cell r="C121" t="str">
            <v>85015104FS05F4</v>
          </cell>
          <cell r="E121" t="str">
            <v>S1.60</v>
          </cell>
          <cell r="F121" t="str">
            <v>F1.80</v>
          </cell>
          <cell r="G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</row>
        <row r="122">
          <cell r="C122" t="str">
            <v>85015104FS05F5</v>
          </cell>
          <cell r="E122" t="str">
            <v>S1.80</v>
          </cell>
          <cell r="F122" t="str">
            <v>F2.00</v>
          </cell>
          <cell r="G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</row>
        <row r="123">
          <cell r="C123" t="str">
            <v>85015104FS05F6</v>
          </cell>
          <cell r="E123" t="str">
            <v>S2.00</v>
          </cell>
          <cell r="F123" t="str">
            <v>F2.20</v>
          </cell>
          <cell r="G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</row>
        <row r="124">
          <cell r="C124" t="str">
            <v>85015104FS05F7</v>
          </cell>
          <cell r="E124" t="str">
            <v>S2.20</v>
          </cell>
          <cell r="G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</row>
        <row r="125">
          <cell r="G125" t="e">
            <v>#N/A</v>
          </cell>
        </row>
        <row r="126">
          <cell r="C126" t="str">
            <v>FS06</v>
          </cell>
          <cell r="E126" t="str">
            <v xml:space="preserve">FLOAT SINK </v>
          </cell>
          <cell r="G126" t="str">
            <v>-1.0 + 0.250mm</v>
          </cell>
          <cell r="J126" t="str">
            <v>Initial Mass (kg)</v>
          </cell>
          <cell r="L126" t="str">
            <v/>
          </cell>
          <cell r="N126" t="str">
            <v>Final Mass (kg)</v>
          </cell>
          <cell r="P126" t="e">
            <v>#N/A</v>
          </cell>
          <cell r="R126" t="str">
            <v>Loss / Gain %</v>
          </cell>
          <cell r="T126" t="str">
            <v/>
          </cell>
          <cell r="U126" t="str">
            <v>Mass % of Sample</v>
          </cell>
          <cell r="W126" t="e">
            <v>#N/A</v>
          </cell>
        </row>
        <row r="128">
          <cell r="C128" t="str">
            <v>85015104FS06F1</v>
          </cell>
          <cell r="F128" t="str">
            <v>F1.45</v>
          </cell>
          <cell r="G128" t="e">
            <v>#N/A</v>
          </cell>
          <cell r="I128" t="e">
            <v>#N/A</v>
          </cell>
          <cell r="J128" t="e">
            <v>#N/A</v>
          </cell>
          <cell r="K128" t="e">
            <v>#N/A</v>
          </cell>
          <cell r="L128" t="e">
            <v>#N/A</v>
          </cell>
          <cell r="N128" t="e">
            <v>#N/A</v>
          </cell>
          <cell r="O128" t="e">
            <v>#N/A</v>
          </cell>
          <cell r="P128" t="e">
            <v>#N/A</v>
          </cell>
          <cell r="Q128" t="e">
            <v>#N/A</v>
          </cell>
          <cell r="R128" t="e">
            <v>#N/A</v>
          </cell>
          <cell r="S128" t="e">
            <v>#N/A</v>
          </cell>
          <cell r="T128" t="e">
            <v>#N/A</v>
          </cell>
          <cell r="V128" t="e">
            <v>#N/A</v>
          </cell>
          <cell r="W128" t="e">
            <v>#N/A</v>
          </cell>
          <cell r="X128" t="e">
            <v>#N/A</v>
          </cell>
        </row>
        <row r="129">
          <cell r="C129" t="str">
            <v>85015104FS06F2</v>
          </cell>
          <cell r="E129" t="str">
            <v>S1.45</v>
          </cell>
          <cell r="F129" t="str">
            <v>F1.50</v>
          </cell>
          <cell r="G129" t="e">
            <v>#N/A</v>
          </cell>
          <cell r="I129" t="e">
            <v>#N/A</v>
          </cell>
          <cell r="J129" t="e">
            <v>#N/A</v>
          </cell>
          <cell r="K129" t="e">
            <v>#N/A</v>
          </cell>
          <cell r="L129" t="e">
            <v>#N/A</v>
          </cell>
          <cell r="N129" t="e">
            <v>#N/A</v>
          </cell>
          <cell r="O129" t="e">
            <v>#N/A</v>
          </cell>
          <cell r="P129" t="e">
            <v>#N/A</v>
          </cell>
          <cell r="Q129" t="e">
            <v>#N/A</v>
          </cell>
          <cell r="R129" t="e">
            <v>#N/A</v>
          </cell>
          <cell r="S129" t="e">
            <v>#N/A</v>
          </cell>
          <cell r="T129" t="e">
            <v>#N/A</v>
          </cell>
          <cell r="V129" t="e">
            <v>#N/A</v>
          </cell>
          <cell r="W129" t="e">
            <v>#N/A</v>
          </cell>
          <cell r="X129" t="e">
            <v>#N/A</v>
          </cell>
        </row>
        <row r="130">
          <cell r="C130" t="str">
            <v>85015104FS06F3</v>
          </cell>
          <cell r="E130" t="str">
            <v>S1.50</v>
          </cell>
          <cell r="F130" t="str">
            <v>F1.60</v>
          </cell>
          <cell r="G130" t="e">
            <v>#N/A</v>
          </cell>
          <cell r="I130" t="e">
            <v>#N/A</v>
          </cell>
          <cell r="J130" t="e">
            <v>#N/A</v>
          </cell>
          <cell r="K130" t="e">
            <v>#N/A</v>
          </cell>
          <cell r="L130" t="e">
            <v>#N/A</v>
          </cell>
          <cell r="N130" t="e">
            <v>#N/A</v>
          </cell>
          <cell r="O130" t="e">
            <v>#N/A</v>
          </cell>
          <cell r="P130" t="e">
            <v>#N/A</v>
          </cell>
          <cell r="Q130" t="e">
            <v>#N/A</v>
          </cell>
          <cell r="R130" t="e">
            <v>#N/A</v>
          </cell>
          <cell r="S130" t="e">
            <v>#N/A</v>
          </cell>
          <cell r="T130" t="e">
            <v>#N/A</v>
          </cell>
          <cell r="V130" t="e">
            <v>#N/A</v>
          </cell>
          <cell r="W130" t="e">
            <v>#N/A</v>
          </cell>
          <cell r="X130" t="e">
            <v>#N/A</v>
          </cell>
        </row>
        <row r="131">
          <cell r="C131" t="str">
            <v>85015104FS06F4</v>
          </cell>
          <cell r="E131" t="str">
            <v>S1.60</v>
          </cell>
          <cell r="F131" t="str">
            <v>F1.80</v>
          </cell>
          <cell r="G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</row>
        <row r="132">
          <cell r="C132" t="str">
            <v>85015104FS06F5</v>
          </cell>
          <cell r="E132" t="str">
            <v>S1.80</v>
          </cell>
          <cell r="F132" t="str">
            <v>F2.00</v>
          </cell>
          <cell r="G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</row>
        <row r="133">
          <cell r="C133" t="str">
            <v>85015104FS06F6</v>
          </cell>
          <cell r="E133" t="str">
            <v>S2.00</v>
          </cell>
          <cell r="F133" t="str">
            <v>F2.20</v>
          </cell>
          <cell r="G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</row>
        <row r="134">
          <cell r="C134" t="str">
            <v>85015104FS06F7</v>
          </cell>
          <cell r="E134" t="str">
            <v>S2.20</v>
          </cell>
          <cell r="G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</row>
        <row r="135">
          <cell r="G135" t="e">
            <v>#N/A</v>
          </cell>
        </row>
        <row r="136">
          <cell r="E136" t="str">
            <v>Borehole : S6_120</v>
          </cell>
          <cell r="I136" t="str">
            <v>Recombined TOTAL Sample</v>
          </cell>
          <cell r="Q136" t="str">
            <v>Recombined -0.250mm</v>
          </cell>
        </row>
        <row r="137">
          <cell r="E137" t="str">
            <v xml:space="preserve">Ply Identification -       Seam -   </v>
          </cell>
          <cell r="I137" t="str">
            <v>Mass</v>
          </cell>
          <cell r="J137" t="str">
            <v>Moisture</v>
          </cell>
          <cell r="K137" t="str">
            <v>Ash</v>
          </cell>
          <cell r="M137" t="str">
            <v>Total Sulfur</v>
          </cell>
          <cell r="Q137" t="str">
            <v>Mass</v>
          </cell>
          <cell r="R137" t="str">
            <v>Moisture</v>
          </cell>
          <cell r="S137" t="str">
            <v>Ash</v>
          </cell>
          <cell r="T137" t="str">
            <v>Total Sulfur</v>
          </cell>
        </row>
        <row r="138">
          <cell r="I138" t="str">
            <v>(%)</v>
          </cell>
          <cell r="J138" t="str">
            <v>(%ad)</v>
          </cell>
          <cell r="K138" t="str">
            <v>(%ad)</v>
          </cell>
          <cell r="M138" t="str">
            <v>(%ad)</v>
          </cell>
          <cell r="Q138" t="str">
            <v>(%)</v>
          </cell>
          <cell r="R138" t="str">
            <v>(%ad)</v>
          </cell>
          <cell r="S138" t="str">
            <v>(%ad)</v>
          </cell>
          <cell r="T138" t="str">
            <v>(%ad)</v>
          </cell>
        </row>
        <row r="139">
          <cell r="G139" t="str">
            <v>Float Sinks &amp; minus fractions</v>
          </cell>
          <cell r="I139" t="e">
            <v>#N/A</v>
          </cell>
          <cell r="J139" t="e">
            <v>#N/A</v>
          </cell>
          <cell r="K139" t="e">
            <v>#N/A</v>
          </cell>
          <cell r="M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</row>
        <row r="140">
          <cell r="G140" t="str">
            <v>After Wet Tumble</v>
          </cell>
          <cell r="J140" t="e">
            <v>#N/A</v>
          </cell>
          <cell r="K140" t="e">
            <v>#N/A</v>
          </cell>
          <cell r="M140" t="e">
            <v>#N/A</v>
          </cell>
        </row>
        <row r="142">
          <cell r="E142" t="str">
            <v>FLOAT SINK</v>
          </cell>
          <cell r="F142" t="str">
            <v>+31.5mm</v>
          </cell>
          <cell r="K142" t="str">
            <v>FLOAT SINK</v>
          </cell>
          <cell r="L142" t="str">
            <v>-16.0 + 8.0mm</v>
          </cell>
          <cell r="Q142" t="str">
            <v>FLOAT SINK</v>
          </cell>
          <cell r="R142" t="str">
            <v>-4.0 + 1.0mm</v>
          </cell>
        </row>
        <row r="154">
          <cell r="E154" t="str">
            <v>FLOAT SINK</v>
          </cell>
          <cell r="F154" t="str">
            <v>-31.5 + 16.0mm</v>
          </cell>
          <cell r="K154" t="str">
            <v>FLOAT SINK</v>
          </cell>
          <cell r="L154" t="str">
            <v>-8.0 + 4.0mm</v>
          </cell>
          <cell r="Q154" t="str">
            <v>FLOAT SINK</v>
          </cell>
          <cell r="R154" t="str">
            <v>-1.0 + 0.250mm</v>
          </cell>
        </row>
      </sheetData>
      <sheetData sheetId="22"/>
      <sheetData sheetId="23"/>
      <sheetData sheetId="24"/>
      <sheetData sheetId="25">
        <row r="47">
          <cell r="O47">
            <v>60</v>
          </cell>
        </row>
      </sheetData>
      <sheetData sheetId="26">
        <row r="14">
          <cell r="B14" t="str">
            <v>85015104CCC01</v>
          </cell>
          <cell r="C14" t="str">
            <v>01</v>
          </cell>
          <cell r="D14" t="str">
            <v>002-012</v>
          </cell>
          <cell r="E14" t="str">
            <v>BNU1</v>
          </cell>
          <cell r="F14">
            <v>1856900</v>
          </cell>
          <cell r="G14">
            <v>12.66</v>
          </cell>
          <cell r="H14">
            <v>18.510000000000002</v>
          </cell>
          <cell r="I14">
            <v>5.8500000000000014</v>
          </cell>
          <cell r="J14">
            <v>5.8500000000000014</v>
          </cell>
          <cell r="K14" t="str">
            <v>C</v>
          </cell>
          <cell r="L14" t="str">
            <v>F1.45</v>
          </cell>
          <cell r="M14">
            <v>13.5</v>
          </cell>
          <cell r="N14">
            <v>1.5</v>
          </cell>
          <cell r="O14">
            <v>12.9</v>
          </cell>
          <cell r="P14">
            <v>23</v>
          </cell>
          <cell r="Q14">
            <v>62.6</v>
          </cell>
          <cell r="R14">
            <v>30.35</v>
          </cell>
          <cell r="S14">
            <v>35.46</v>
          </cell>
          <cell r="T14">
            <v>9.9000000000000005E-2</v>
          </cell>
          <cell r="U14">
            <v>9.7000000000000003E-2</v>
          </cell>
          <cell r="V14" t="str">
            <v>-</v>
          </cell>
          <cell r="W14" t="str">
            <v>-</v>
          </cell>
          <cell r="X14">
            <v>72.3</v>
          </cell>
          <cell r="Y14">
            <v>4.5199999999999996</v>
          </cell>
          <cell r="Z14">
            <v>1.95</v>
          </cell>
          <cell r="AA14">
            <v>1.07</v>
          </cell>
          <cell r="AB14">
            <v>5.8</v>
          </cell>
          <cell r="AC14">
            <v>0.02</v>
          </cell>
          <cell r="AD14">
            <v>0.17</v>
          </cell>
          <cell r="AE14">
            <v>0.88</v>
          </cell>
          <cell r="AF14" t="str">
            <v>-</v>
          </cell>
          <cell r="AG14" t="str">
            <v>-</v>
          </cell>
          <cell r="AH14" t="str">
            <v>-</v>
          </cell>
          <cell r="AI14" t="str">
            <v>-</v>
          </cell>
          <cell r="AJ14" t="str">
            <v>-</v>
          </cell>
          <cell r="AK14" t="str">
            <v>-</v>
          </cell>
          <cell r="AL14" t="str">
            <v>-</v>
          </cell>
          <cell r="AM14" t="str">
            <v>-</v>
          </cell>
          <cell r="AN14" t="str">
            <v>-</v>
          </cell>
          <cell r="AO14" t="str">
            <v>-</v>
          </cell>
          <cell r="AP14" t="str">
            <v>-</v>
          </cell>
          <cell r="AQ14" t="str">
            <v>-</v>
          </cell>
          <cell r="AR14" t="str">
            <v>-</v>
          </cell>
          <cell r="AS14" t="str">
            <v>-</v>
          </cell>
          <cell r="AT14" t="str">
            <v>-</v>
          </cell>
          <cell r="AU14" t="str">
            <v>-</v>
          </cell>
          <cell r="AV14" t="str">
            <v>-</v>
          </cell>
          <cell r="AW14" t="str">
            <v>-</v>
          </cell>
          <cell r="AX14" t="str">
            <v>&gt;9</v>
          </cell>
          <cell r="AY14">
            <v>71</v>
          </cell>
          <cell r="AZ14" t="str">
            <v>G5</v>
          </cell>
          <cell r="BA14">
            <v>390</v>
          </cell>
          <cell r="BB14">
            <v>420</v>
          </cell>
          <cell r="BC14">
            <v>465</v>
          </cell>
          <cell r="BD14">
            <v>26</v>
          </cell>
          <cell r="BE14">
            <v>73</v>
          </cell>
          <cell r="BF14">
            <v>41715</v>
          </cell>
          <cell r="BG14">
            <v>410</v>
          </cell>
          <cell r="BH14">
            <v>455</v>
          </cell>
          <cell r="BI14">
            <v>425</v>
          </cell>
          <cell r="BJ14">
            <v>480</v>
          </cell>
          <cell r="BK14">
            <v>70</v>
          </cell>
          <cell r="BL14">
            <v>177</v>
          </cell>
          <cell r="BM14">
            <v>2.25</v>
          </cell>
          <cell r="BN14">
            <v>41715.88958333333</v>
          </cell>
          <cell r="BO14">
            <v>57.1</v>
          </cell>
          <cell r="BP14">
            <v>24.9</v>
          </cell>
          <cell r="BQ14">
            <v>5.8</v>
          </cell>
          <cell r="BR14">
            <v>2.68</v>
          </cell>
          <cell r="BS14">
            <v>1.01</v>
          </cell>
          <cell r="BT14">
            <v>0.15</v>
          </cell>
          <cell r="BU14">
            <v>2.27</v>
          </cell>
          <cell r="BV14">
            <v>2.41</v>
          </cell>
          <cell r="BW14">
            <v>0.06</v>
          </cell>
          <cell r="BX14">
            <v>1.69</v>
          </cell>
          <cell r="BY14">
            <v>0.96</v>
          </cell>
          <cell r="BZ14">
            <v>0.24</v>
          </cell>
          <cell r="CA14">
            <v>0.12</v>
          </cell>
          <cell r="CB14">
            <v>0.1</v>
          </cell>
          <cell r="CC14">
            <v>0.05</v>
          </cell>
          <cell r="CD14" t="str">
            <v>BV Minerals (Amdel)</v>
          </cell>
          <cell r="CE14" t="str">
            <v>L107563</v>
          </cell>
          <cell r="CF14">
            <v>76.7</v>
          </cell>
          <cell r="CG14">
            <v>39.4</v>
          </cell>
          <cell r="CH14">
            <v>30.4</v>
          </cell>
          <cell r="CI14">
            <v>79</v>
          </cell>
          <cell r="CJ14">
            <v>12</v>
          </cell>
        </row>
        <row r="15">
          <cell r="B15" t="str">
            <v>85015104CCC02</v>
          </cell>
          <cell r="C15" t="str">
            <v>02</v>
          </cell>
          <cell r="D15" t="str">
            <v>013-029</v>
          </cell>
          <cell r="E15" t="str">
            <v>BNU2</v>
          </cell>
          <cell r="F15">
            <v>1856901</v>
          </cell>
          <cell r="G15">
            <v>18.510000000000002</v>
          </cell>
          <cell r="H15">
            <v>27.38</v>
          </cell>
          <cell r="I15">
            <v>8.8699999999999974</v>
          </cell>
          <cell r="J15">
            <v>8.8699999999999974</v>
          </cell>
          <cell r="K15" t="str">
            <v>C</v>
          </cell>
          <cell r="L15" t="str">
            <v>F1.45</v>
          </cell>
          <cell r="M15">
            <v>39.5</v>
          </cell>
          <cell r="N15">
            <v>1.4</v>
          </cell>
          <cell r="O15">
            <v>11</v>
          </cell>
          <cell r="P15">
            <v>22.7</v>
          </cell>
          <cell r="Q15">
            <v>64.900000000000006</v>
          </cell>
          <cell r="R15">
            <v>31.33</v>
          </cell>
          <cell r="S15">
            <v>35.76</v>
          </cell>
          <cell r="T15">
            <v>9.5000000000000001E-2</v>
          </cell>
          <cell r="U15">
            <v>9.2999999999999999E-2</v>
          </cell>
          <cell r="V15" t="str">
            <v>-</v>
          </cell>
          <cell r="W15" t="str">
            <v>-</v>
          </cell>
          <cell r="X15">
            <v>74.7</v>
          </cell>
          <cell r="Y15">
            <v>4.53</v>
          </cell>
          <cell r="Z15">
            <v>1.97</v>
          </cell>
          <cell r="AA15">
            <v>0.98</v>
          </cell>
          <cell r="AB15">
            <v>5.4</v>
          </cell>
          <cell r="AC15">
            <v>0.02</v>
          </cell>
          <cell r="AD15">
            <v>0.19</v>
          </cell>
          <cell r="AE15">
            <v>0.77</v>
          </cell>
          <cell r="AF15" t="str">
            <v>-</v>
          </cell>
          <cell r="AG15" t="str">
            <v>-</v>
          </cell>
          <cell r="AH15" t="str">
            <v>-</v>
          </cell>
          <cell r="AI15" t="str">
            <v>-</v>
          </cell>
          <cell r="AJ15" t="str">
            <v>-</v>
          </cell>
          <cell r="AK15" t="str">
            <v>-</v>
          </cell>
          <cell r="AL15" t="str">
            <v>-</v>
          </cell>
          <cell r="AM15" t="str">
            <v>-</v>
          </cell>
          <cell r="AN15" t="str">
            <v>-</v>
          </cell>
          <cell r="AO15" t="str">
            <v>-</v>
          </cell>
          <cell r="AP15" t="str">
            <v>-</v>
          </cell>
          <cell r="AQ15" t="str">
            <v>-</v>
          </cell>
          <cell r="AR15" t="str">
            <v>-</v>
          </cell>
          <cell r="AS15" t="str">
            <v>-</v>
          </cell>
          <cell r="AT15" t="str">
            <v>-</v>
          </cell>
          <cell r="AU15" t="str">
            <v>-</v>
          </cell>
          <cell r="AV15" t="str">
            <v>-</v>
          </cell>
          <cell r="AW15" t="str">
            <v>-</v>
          </cell>
          <cell r="AX15" t="str">
            <v>&gt;9</v>
          </cell>
          <cell r="AY15">
            <v>65</v>
          </cell>
          <cell r="AZ15" t="str">
            <v>G4</v>
          </cell>
          <cell r="BA15">
            <v>390</v>
          </cell>
          <cell r="BB15">
            <v>420</v>
          </cell>
          <cell r="BC15">
            <v>465</v>
          </cell>
          <cell r="BD15">
            <v>26</v>
          </cell>
          <cell r="BE15">
            <v>76</v>
          </cell>
          <cell r="BF15">
            <v>41704</v>
          </cell>
          <cell r="BG15">
            <v>420</v>
          </cell>
          <cell r="BH15">
            <v>455</v>
          </cell>
          <cell r="BI15">
            <v>435</v>
          </cell>
          <cell r="BJ15">
            <v>485</v>
          </cell>
          <cell r="BK15">
            <v>65</v>
          </cell>
          <cell r="BL15">
            <v>90</v>
          </cell>
          <cell r="BM15">
            <v>1.95</v>
          </cell>
          <cell r="BN15">
            <v>41705.365972222222</v>
          </cell>
          <cell r="BO15">
            <v>56.2</v>
          </cell>
          <cell r="BP15">
            <v>25.3</v>
          </cell>
          <cell r="BQ15">
            <v>4.18</v>
          </cell>
          <cell r="BR15">
            <v>4</v>
          </cell>
          <cell r="BS15">
            <v>0.85</v>
          </cell>
          <cell r="BT15">
            <v>0.17</v>
          </cell>
          <cell r="BU15">
            <v>1.96</v>
          </cell>
          <cell r="BV15">
            <v>2.0699999999999998</v>
          </cell>
          <cell r="BW15">
            <v>0.06</v>
          </cell>
          <cell r="BX15">
            <v>1.91</v>
          </cell>
          <cell r="BY15">
            <v>1.92</v>
          </cell>
          <cell r="BZ15">
            <v>0.24</v>
          </cell>
          <cell r="CA15">
            <v>0.22</v>
          </cell>
          <cell r="CB15">
            <v>7.0000000000000007E-2</v>
          </cell>
          <cell r="CC15">
            <v>0.03</v>
          </cell>
          <cell r="CD15" t="str">
            <v>BV Minerals (Amdel)</v>
          </cell>
          <cell r="CE15" t="str">
            <v>L107441</v>
          </cell>
          <cell r="CF15">
            <v>76.900000000000006</v>
          </cell>
          <cell r="CG15">
            <v>34</v>
          </cell>
          <cell r="CH15">
            <v>44.6</v>
          </cell>
          <cell r="CI15">
            <v>80.3</v>
          </cell>
          <cell r="CJ15">
            <v>13.5</v>
          </cell>
        </row>
        <row r="16">
          <cell r="B16" t="str">
            <v>85015104CCC03</v>
          </cell>
          <cell r="C16" t="str">
            <v>03</v>
          </cell>
          <cell r="D16" t="str">
            <v>032-038</v>
          </cell>
          <cell r="E16" t="str">
            <v>BNL1</v>
          </cell>
          <cell r="F16">
            <v>1856902</v>
          </cell>
          <cell r="G16">
            <v>75.59</v>
          </cell>
          <cell r="H16">
            <v>79.83</v>
          </cell>
          <cell r="I16">
            <v>4.21</v>
          </cell>
          <cell r="J16">
            <v>4.24</v>
          </cell>
          <cell r="K16" t="str">
            <v>C</v>
          </cell>
          <cell r="L16" t="str">
            <v>F1.45</v>
          </cell>
          <cell r="M16">
            <v>14.6</v>
          </cell>
          <cell r="N16">
            <v>1.3</v>
          </cell>
          <cell r="O16">
            <v>12.5</v>
          </cell>
          <cell r="P16">
            <v>21.7</v>
          </cell>
          <cell r="Q16">
            <v>64.5</v>
          </cell>
          <cell r="R16">
            <v>30.77</v>
          </cell>
          <cell r="S16">
            <v>35.700000000000003</v>
          </cell>
          <cell r="T16">
            <v>0.11600000000000001</v>
          </cell>
          <cell r="U16">
            <v>0.115</v>
          </cell>
          <cell r="V16" t="str">
            <v>-</v>
          </cell>
          <cell r="W16" t="str">
            <v>-</v>
          </cell>
          <cell r="X16">
            <v>73.599999999999994</v>
          </cell>
          <cell r="Y16">
            <v>4.51</v>
          </cell>
          <cell r="Z16">
            <v>1.83</v>
          </cell>
          <cell r="AA16">
            <v>0.98</v>
          </cell>
          <cell r="AB16">
            <v>5.3</v>
          </cell>
          <cell r="AC16" t="str">
            <v>&lt;0.01</v>
          </cell>
          <cell r="AD16">
            <v>0.1</v>
          </cell>
          <cell r="AE16">
            <v>0.88</v>
          </cell>
          <cell r="AF16" t="str">
            <v>-</v>
          </cell>
          <cell r="AG16" t="str">
            <v>-</v>
          </cell>
          <cell r="AH16" t="str">
            <v>-</v>
          </cell>
          <cell r="AI16" t="str">
            <v>-</v>
          </cell>
          <cell r="AJ16" t="str">
            <v>-</v>
          </cell>
          <cell r="AK16" t="str">
            <v>-</v>
          </cell>
          <cell r="AL16" t="str">
            <v>-</v>
          </cell>
          <cell r="AM16" t="str">
            <v>-</v>
          </cell>
          <cell r="AN16" t="str">
            <v>-</v>
          </cell>
          <cell r="AO16" t="str">
            <v>-</v>
          </cell>
          <cell r="AP16" t="str">
            <v>-</v>
          </cell>
          <cell r="AQ16" t="str">
            <v>-</v>
          </cell>
          <cell r="AR16" t="str">
            <v>-</v>
          </cell>
          <cell r="AS16" t="str">
            <v>-</v>
          </cell>
          <cell r="AT16" t="str">
            <v>-</v>
          </cell>
          <cell r="AU16" t="str">
            <v>-</v>
          </cell>
          <cell r="AV16" t="str">
            <v>-</v>
          </cell>
          <cell r="AW16" t="str">
            <v>-</v>
          </cell>
          <cell r="AX16" t="str">
            <v>&gt;9</v>
          </cell>
          <cell r="AY16">
            <v>71</v>
          </cell>
          <cell r="AZ16" t="str">
            <v>G5</v>
          </cell>
          <cell r="BA16">
            <v>390</v>
          </cell>
          <cell r="BB16">
            <v>415</v>
          </cell>
          <cell r="BC16">
            <v>460</v>
          </cell>
          <cell r="BD16">
            <v>24</v>
          </cell>
          <cell r="BE16">
            <v>82</v>
          </cell>
          <cell r="BF16">
            <v>41716</v>
          </cell>
          <cell r="BG16">
            <v>420</v>
          </cell>
          <cell r="BH16">
            <v>460</v>
          </cell>
          <cell r="BI16">
            <v>435</v>
          </cell>
          <cell r="BJ16">
            <v>490</v>
          </cell>
          <cell r="BK16">
            <v>70</v>
          </cell>
          <cell r="BL16">
            <v>155</v>
          </cell>
          <cell r="BM16">
            <v>2.19</v>
          </cell>
          <cell r="BN16">
            <v>41712.892361111109</v>
          </cell>
          <cell r="BO16">
            <v>58.3</v>
          </cell>
          <cell r="BP16">
            <v>24.8</v>
          </cell>
          <cell r="BQ16">
            <v>4.1500000000000004</v>
          </cell>
          <cell r="BR16">
            <v>2.08</v>
          </cell>
          <cell r="BS16">
            <v>0.86</v>
          </cell>
          <cell r="BT16">
            <v>0.12</v>
          </cell>
          <cell r="BU16">
            <v>2.63</v>
          </cell>
          <cell r="BV16">
            <v>2.73</v>
          </cell>
          <cell r="BW16">
            <v>0.04</v>
          </cell>
          <cell r="BX16">
            <v>2.08</v>
          </cell>
          <cell r="BY16">
            <v>0.62</v>
          </cell>
          <cell r="BZ16">
            <v>0.55000000000000004</v>
          </cell>
          <cell r="CA16">
            <v>0.19</v>
          </cell>
          <cell r="CB16">
            <v>0.16</v>
          </cell>
          <cell r="CC16">
            <v>0.06</v>
          </cell>
          <cell r="CD16" t="str">
            <v>BV Minerals (Amdel)</v>
          </cell>
          <cell r="CE16" t="str">
            <v>L107562</v>
          </cell>
          <cell r="CF16">
            <v>78.599999999999994</v>
          </cell>
          <cell r="CG16">
            <v>29.8</v>
          </cell>
          <cell r="CH16">
            <v>51.8</v>
          </cell>
          <cell r="CI16">
            <v>80.5</v>
          </cell>
          <cell r="CJ16">
            <v>12.3</v>
          </cell>
        </row>
        <row r="17">
          <cell r="B17" t="str">
            <v>85015104CCC04</v>
          </cell>
          <cell r="C17" t="str">
            <v>04</v>
          </cell>
          <cell r="D17" t="str">
            <v>040-049</v>
          </cell>
          <cell r="E17" t="str">
            <v>BNL2</v>
          </cell>
          <cell r="F17">
            <v>1856903</v>
          </cell>
          <cell r="G17">
            <v>80.33</v>
          </cell>
          <cell r="H17">
            <v>87.8</v>
          </cell>
          <cell r="I17">
            <v>7.4200000000000017</v>
          </cell>
          <cell r="J17">
            <v>7.4699999999999989</v>
          </cell>
          <cell r="K17" t="str">
            <v>C</v>
          </cell>
          <cell r="L17" t="str">
            <v>F1.45</v>
          </cell>
          <cell r="M17">
            <v>18.100000000000001</v>
          </cell>
          <cell r="N17">
            <v>1.4</v>
          </cell>
          <cell r="O17">
            <v>10.5</v>
          </cell>
          <cell r="P17">
            <v>21.4</v>
          </cell>
          <cell r="Q17">
            <v>66.7</v>
          </cell>
          <cell r="R17">
            <v>31.99</v>
          </cell>
          <cell r="S17">
            <v>36.31</v>
          </cell>
          <cell r="T17">
            <v>3.5999999999999997E-2</v>
          </cell>
          <cell r="U17">
            <v>3.6999999999999998E-2</v>
          </cell>
          <cell r="V17" t="str">
            <v>-</v>
          </cell>
          <cell r="W17" t="str">
            <v>-</v>
          </cell>
          <cell r="X17">
            <v>77.599999999999994</v>
          </cell>
          <cell r="Y17">
            <v>4.42</v>
          </cell>
          <cell r="Z17">
            <v>1.8</v>
          </cell>
          <cell r="AA17">
            <v>0.76</v>
          </cell>
          <cell r="AB17">
            <v>3.5</v>
          </cell>
          <cell r="AC17" t="str">
            <v>&lt;0.01</v>
          </cell>
          <cell r="AD17">
            <v>0.04</v>
          </cell>
          <cell r="AE17">
            <v>0.72</v>
          </cell>
          <cell r="AF17" t="str">
            <v>-</v>
          </cell>
          <cell r="AG17" t="str">
            <v>-</v>
          </cell>
          <cell r="AH17" t="str">
            <v>-</v>
          </cell>
          <cell r="AI17" t="str">
            <v>-</v>
          </cell>
          <cell r="AJ17" t="str">
            <v>-</v>
          </cell>
          <cell r="AK17" t="str">
            <v>-</v>
          </cell>
          <cell r="AL17" t="str">
            <v>-</v>
          </cell>
          <cell r="AM17" t="str">
            <v>-</v>
          </cell>
          <cell r="AN17" t="str">
            <v>-</v>
          </cell>
          <cell r="AO17" t="str">
            <v>-</v>
          </cell>
          <cell r="AP17" t="str">
            <v>-</v>
          </cell>
          <cell r="AQ17" t="str">
            <v>-</v>
          </cell>
          <cell r="AR17" t="str">
            <v>-</v>
          </cell>
          <cell r="AS17" t="str">
            <v>-</v>
          </cell>
          <cell r="AT17" t="str">
            <v>-</v>
          </cell>
          <cell r="AU17" t="str">
            <v>-</v>
          </cell>
          <cell r="AV17" t="str">
            <v>-</v>
          </cell>
          <cell r="AW17" t="str">
            <v>-</v>
          </cell>
          <cell r="AX17" t="str">
            <v>&gt;9</v>
          </cell>
          <cell r="AY17">
            <v>66</v>
          </cell>
          <cell r="AZ17" t="str">
            <v>G4</v>
          </cell>
          <cell r="BA17">
            <v>395</v>
          </cell>
          <cell r="BB17">
            <v>425</v>
          </cell>
          <cell r="BC17">
            <v>465</v>
          </cell>
          <cell r="BD17">
            <v>22</v>
          </cell>
          <cell r="BE17">
            <v>54</v>
          </cell>
          <cell r="BF17">
            <v>41708</v>
          </cell>
          <cell r="BG17">
            <v>425</v>
          </cell>
          <cell r="BH17">
            <v>460</v>
          </cell>
          <cell r="BI17">
            <v>465</v>
          </cell>
          <cell r="BJ17">
            <v>490</v>
          </cell>
          <cell r="BK17">
            <v>65</v>
          </cell>
          <cell r="BL17">
            <v>52</v>
          </cell>
          <cell r="BM17">
            <v>1.72</v>
          </cell>
          <cell r="BN17">
            <v>41705.272222222222</v>
          </cell>
          <cell r="BO17">
            <v>63.3</v>
          </cell>
          <cell r="BP17">
            <v>23.6</v>
          </cell>
          <cell r="BQ17">
            <v>2.5499999999999998</v>
          </cell>
          <cell r="BR17">
            <v>1.1399999999999999</v>
          </cell>
          <cell r="BS17">
            <v>0.69</v>
          </cell>
          <cell r="BT17">
            <v>0.14000000000000001</v>
          </cell>
          <cell r="BU17">
            <v>2.5499999999999998</v>
          </cell>
          <cell r="BV17">
            <v>3.16</v>
          </cell>
          <cell r="BW17">
            <v>0.03</v>
          </cell>
          <cell r="BX17">
            <v>0.8</v>
          </cell>
          <cell r="BY17">
            <v>0.33</v>
          </cell>
          <cell r="BZ17">
            <v>0.18</v>
          </cell>
          <cell r="CA17">
            <v>0.08</v>
          </cell>
          <cell r="CB17">
            <v>0.1</v>
          </cell>
          <cell r="CC17">
            <v>0.03</v>
          </cell>
          <cell r="CD17" t="str">
            <v>BV Minerals (Amdel)</v>
          </cell>
          <cell r="CE17" t="str">
            <v>L107603</v>
          </cell>
          <cell r="CF17">
            <v>79.599999999999994</v>
          </cell>
          <cell r="CG17">
            <v>26.1</v>
          </cell>
          <cell r="CH17">
            <v>59.6</v>
          </cell>
          <cell r="CI17">
            <v>80.3</v>
          </cell>
          <cell r="CJ17">
            <v>12.8</v>
          </cell>
        </row>
        <row r="18">
          <cell r="B18" t="str">
            <v>85015104CCC05</v>
          </cell>
          <cell r="C18" t="str">
            <v>05</v>
          </cell>
          <cell r="D18" t="str">
            <v>050-069</v>
          </cell>
          <cell r="E18" t="str">
            <v>BNL2_BNL3</v>
          </cell>
          <cell r="F18">
            <v>1856904</v>
          </cell>
          <cell r="G18">
            <v>87.85</v>
          </cell>
          <cell r="H18">
            <v>99.25</v>
          </cell>
          <cell r="I18">
            <v>11.210000000000008</v>
          </cell>
          <cell r="J18">
            <v>11.400000000000006</v>
          </cell>
          <cell r="K18" t="str">
            <v>C</v>
          </cell>
          <cell r="L18" t="str">
            <v>F1.45</v>
          </cell>
          <cell r="M18">
            <v>31.9</v>
          </cell>
          <cell r="N18">
            <v>1</v>
          </cell>
          <cell r="O18">
            <v>10.4</v>
          </cell>
          <cell r="P18">
            <v>21.6</v>
          </cell>
          <cell r="Q18">
            <v>67</v>
          </cell>
          <cell r="R18">
            <v>32.020000000000003</v>
          </cell>
          <cell r="S18">
            <v>36.14</v>
          </cell>
          <cell r="T18">
            <v>2.5000000000000001E-2</v>
          </cell>
          <cell r="U18">
            <v>2.4E-2</v>
          </cell>
          <cell r="V18" t="str">
            <v>-</v>
          </cell>
          <cell r="W18" t="str">
            <v>-</v>
          </cell>
          <cell r="X18">
            <v>76.599999999999994</v>
          </cell>
          <cell r="Y18">
            <v>4.4800000000000004</v>
          </cell>
          <cell r="Z18">
            <v>1.72</v>
          </cell>
          <cell r="AA18">
            <v>0.94</v>
          </cell>
          <cell r="AB18">
            <v>4.9000000000000004</v>
          </cell>
          <cell r="AC18" t="str">
            <v>&lt;0.01</v>
          </cell>
          <cell r="AD18">
            <v>0.05</v>
          </cell>
          <cell r="AE18">
            <v>0.8899999999999999</v>
          </cell>
          <cell r="AF18" t="str">
            <v>-</v>
          </cell>
          <cell r="AG18" t="str">
            <v>-</v>
          </cell>
          <cell r="AH18" t="str">
            <v>-</v>
          </cell>
          <cell r="AI18" t="str">
            <v>-</v>
          </cell>
          <cell r="AJ18" t="str">
            <v>-</v>
          </cell>
          <cell r="AK18" t="str">
            <v>-</v>
          </cell>
          <cell r="AL18" t="str">
            <v>-</v>
          </cell>
          <cell r="AM18" t="str">
            <v>-</v>
          </cell>
          <cell r="AN18" t="str">
            <v>-</v>
          </cell>
          <cell r="AO18" t="str">
            <v>-</v>
          </cell>
          <cell r="AP18" t="str">
            <v>-</v>
          </cell>
          <cell r="AQ18" t="str">
            <v>-</v>
          </cell>
          <cell r="AR18" t="str">
            <v>-</v>
          </cell>
          <cell r="AS18" t="str">
            <v>-</v>
          </cell>
          <cell r="AT18" t="str">
            <v>-</v>
          </cell>
          <cell r="AU18" t="str">
            <v>-</v>
          </cell>
          <cell r="AV18" t="str">
            <v>-</v>
          </cell>
          <cell r="AW18" t="str">
            <v>-</v>
          </cell>
          <cell r="AX18" t="str">
            <v>&gt;9</v>
          </cell>
          <cell r="AY18">
            <v>72</v>
          </cell>
          <cell r="AZ18" t="str">
            <v>G5</v>
          </cell>
          <cell r="BA18">
            <v>400</v>
          </cell>
          <cell r="BB18">
            <v>425</v>
          </cell>
          <cell r="BC18">
            <v>470</v>
          </cell>
          <cell r="BD18">
            <v>26</v>
          </cell>
          <cell r="BE18">
            <v>80</v>
          </cell>
          <cell r="BF18">
            <v>41709</v>
          </cell>
          <cell r="BG18">
            <v>425</v>
          </cell>
          <cell r="BH18">
            <v>460</v>
          </cell>
          <cell r="BI18">
            <v>440</v>
          </cell>
          <cell r="BJ18">
            <v>490</v>
          </cell>
          <cell r="BK18">
            <v>65</v>
          </cell>
          <cell r="BL18">
            <v>152</v>
          </cell>
          <cell r="BM18">
            <v>2.1800000000000002</v>
          </cell>
          <cell r="BN18">
            <v>41709.895833333336</v>
          </cell>
          <cell r="BO18">
            <v>62.3</v>
          </cell>
          <cell r="BP18">
            <v>25.5</v>
          </cell>
          <cell r="BQ18">
            <v>2.91</v>
          </cell>
          <cell r="BR18">
            <v>0.83</v>
          </cell>
          <cell r="BS18">
            <v>0.71</v>
          </cell>
          <cell r="BT18">
            <v>0.12</v>
          </cell>
          <cell r="BU18">
            <v>2.36</v>
          </cell>
          <cell r="BV18">
            <v>2.62</v>
          </cell>
          <cell r="BW18">
            <v>0.03</v>
          </cell>
          <cell r="BX18">
            <v>0.53</v>
          </cell>
          <cell r="BY18">
            <v>0.51</v>
          </cell>
          <cell r="BZ18">
            <v>0.16</v>
          </cell>
          <cell r="CA18">
            <v>0.1</v>
          </cell>
          <cell r="CB18">
            <v>0.1</v>
          </cell>
          <cell r="CC18">
            <v>0.05</v>
          </cell>
          <cell r="CD18" t="str">
            <v>BV Minerals (Amdel)</v>
          </cell>
          <cell r="CE18" t="str">
            <v>L107441</v>
          </cell>
          <cell r="CF18">
            <v>80.5</v>
          </cell>
          <cell r="CG18">
            <v>22.2</v>
          </cell>
          <cell r="CH18">
            <v>62.2</v>
          </cell>
          <cell r="CI18">
            <v>81.3</v>
          </cell>
          <cell r="CJ18">
            <v>13.8</v>
          </cell>
        </row>
        <row r="19">
          <cell r="B19" t="str">
            <v>85015104CCC06</v>
          </cell>
          <cell r="C19" t="str">
            <v>06</v>
          </cell>
          <cell r="D19" t="str">
            <v>072-075</v>
          </cell>
          <cell r="E19" t="str">
            <v>BR</v>
          </cell>
          <cell r="F19">
            <v>1856905</v>
          </cell>
          <cell r="G19">
            <v>116.5</v>
          </cell>
          <cell r="H19">
            <v>119.03</v>
          </cell>
          <cell r="I19">
            <v>2.5300000000000011</v>
          </cell>
          <cell r="J19">
            <v>2.5300000000000011</v>
          </cell>
          <cell r="K19" t="str">
            <v>C</v>
          </cell>
          <cell r="L19" t="str">
            <v>F1.45</v>
          </cell>
          <cell r="M19">
            <v>36</v>
          </cell>
          <cell r="N19">
            <v>1.1000000000000001</v>
          </cell>
          <cell r="O19">
            <v>9.5</v>
          </cell>
          <cell r="P19">
            <v>20.2</v>
          </cell>
          <cell r="Q19">
            <v>69.2</v>
          </cell>
          <cell r="R19">
            <v>32.24</v>
          </cell>
          <cell r="S19">
            <v>36.06</v>
          </cell>
          <cell r="T19">
            <v>0.104</v>
          </cell>
          <cell r="U19">
            <v>0.104</v>
          </cell>
          <cell r="V19" t="str">
            <v>-</v>
          </cell>
          <cell r="W19" t="str">
            <v>-</v>
          </cell>
          <cell r="X19">
            <v>77.5</v>
          </cell>
          <cell r="Y19">
            <v>4.42</v>
          </cell>
          <cell r="Z19">
            <v>1.95</v>
          </cell>
          <cell r="AA19">
            <v>1.08</v>
          </cell>
          <cell r="AB19">
            <v>4.5</v>
          </cell>
          <cell r="AC19" t="str">
            <v>&lt;0.01</v>
          </cell>
          <cell r="AD19">
            <v>0.06</v>
          </cell>
          <cell r="AE19">
            <v>1.02</v>
          </cell>
          <cell r="AF19" t="str">
            <v>-</v>
          </cell>
          <cell r="AG19" t="str">
            <v>-</v>
          </cell>
          <cell r="AH19" t="str">
            <v>-</v>
          </cell>
          <cell r="AI19" t="str">
            <v>-</v>
          </cell>
          <cell r="AJ19" t="str">
            <v>-</v>
          </cell>
          <cell r="AK19" t="str">
            <v>-</v>
          </cell>
          <cell r="AL19" t="str">
            <v>-</v>
          </cell>
          <cell r="AM19" t="str">
            <v>-</v>
          </cell>
          <cell r="AN19" t="str">
            <v>-</v>
          </cell>
          <cell r="AO19" t="str">
            <v>-</v>
          </cell>
          <cell r="AP19" t="str">
            <v>-</v>
          </cell>
          <cell r="AQ19" t="str">
            <v>-</v>
          </cell>
          <cell r="AR19" t="str">
            <v>-</v>
          </cell>
          <cell r="AS19" t="str">
            <v>-</v>
          </cell>
          <cell r="AT19" t="str">
            <v>-</v>
          </cell>
          <cell r="AU19" t="str">
            <v>-</v>
          </cell>
          <cell r="AV19" t="str">
            <v>-</v>
          </cell>
          <cell r="AW19" t="str">
            <v>-</v>
          </cell>
          <cell r="AX19" t="str">
            <v>&gt;9</v>
          </cell>
          <cell r="AY19">
            <v>67</v>
          </cell>
          <cell r="AZ19" t="str">
            <v>G5</v>
          </cell>
          <cell r="BA19">
            <v>405</v>
          </cell>
          <cell r="BB19">
            <v>435</v>
          </cell>
          <cell r="BC19">
            <v>480</v>
          </cell>
          <cell r="BD19">
            <v>23</v>
          </cell>
          <cell r="BE19">
            <v>64</v>
          </cell>
          <cell r="BF19">
            <v>41712</v>
          </cell>
          <cell r="BG19">
            <v>430</v>
          </cell>
          <cell r="BH19">
            <v>465</v>
          </cell>
          <cell r="BI19">
            <v>445</v>
          </cell>
          <cell r="BJ19">
            <v>495</v>
          </cell>
          <cell r="BK19">
            <v>65</v>
          </cell>
          <cell r="BL19">
            <v>50</v>
          </cell>
          <cell r="BM19">
            <v>1.7</v>
          </cell>
          <cell r="BN19">
            <v>41711.890972222223</v>
          </cell>
          <cell r="BO19">
            <v>59.3</v>
          </cell>
          <cell r="BP19">
            <v>26</v>
          </cell>
          <cell r="BQ19">
            <v>2.0499999999999998</v>
          </cell>
          <cell r="BR19">
            <v>2.4</v>
          </cell>
          <cell r="BS19">
            <v>0.56999999999999995</v>
          </cell>
          <cell r="BT19">
            <v>0.14000000000000001</v>
          </cell>
          <cell r="BU19">
            <v>2.59</v>
          </cell>
          <cell r="BV19">
            <v>2.59</v>
          </cell>
          <cell r="BW19" t="str">
            <v>&lt;0.02</v>
          </cell>
          <cell r="BX19">
            <v>2.4900000000000002</v>
          </cell>
          <cell r="BY19">
            <v>0.19</v>
          </cell>
          <cell r="BZ19">
            <v>0.22</v>
          </cell>
          <cell r="CA19">
            <v>0.32</v>
          </cell>
          <cell r="CB19">
            <v>0.1</v>
          </cell>
          <cell r="CC19">
            <v>0.02</v>
          </cell>
          <cell r="CD19" t="str">
            <v>BV Minerals (Amdel)</v>
          </cell>
          <cell r="CE19" t="str">
            <v>L107441</v>
          </cell>
          <cell r="CF19">
            <v>79.900000000000006</v>
          </cell>
          <cell r="CG19">
            <v>20.8</v>
          </cell>
          <cell r="CH19">
            <v>64.5</v>
          </cell>
          <cell r="CI19">
            <v>79.3</v>
          </cell>
          <cell r="CJ19">
            <v>15</v>
          </cell>
        </row>
        <row r="20">
          <cell r="B20" t="str">
            <v>85015104CCC07</v>
          </cell>
          <cell r="C20" t="str">
            <v>07</v>
          </cell>
          <cell r="D20" t="str">
            <v>078-084</v>
          </cell>
          <cell r="E20" t="str">
            <v>UCT</v>
          </cell>
          <cell r="F20">
            <v>1856906</v>
          </cell>
          <cell r="G20">
            <v>150.44</v>
          </cell>
          <cell r="H20">
            <v>154.97999999999999</v>
          </cell>
          <cell r="I20">
            <v>4.54</v>
          </cell>
          <cell r="J20">
            <v>4.54</v>
          </cell>
          <cell r="K20" t="str">
            <v>C</v>
          </cell>
          <cell r="L20" t="str">
            <v>F1.45</v>
          </cell>
          <cell r="M20">
            <v>19.899999999999999</v>
          </cell>
          <cell r="N20">
            <v>1.1000000000000001</v>
          </cell>
          <cell r="O20">
            <v>10</v>
          </cell>
          <cell r="P20">
            <v>18.8</v>
          </cell>
          <cell r="Q20">
            <v>70.099999999999994</v>
          </cell>
          <cell r="R20">
            <v>32.1</v>
          </cell>
          <cell r="S20">
            <v>36.11</v>
          </cell>
          <cell r="T20">
            <v>5.8000000000000003E-2</v>
          </cell>
          <cell r="U20">
            <v>5.7000000000000002E-2</v>
          </cell>
          <cell r="V20" t="str">
            <v>-</v>
          </cell>
          <cell r="W20" t="str">
            <v>-</v>
          </cell>
          <cell r="X20">
            <v>77.900000000000006</v>
          </cell>
          <cell r="Y20">
            <v>4.28</v>
          </cell>
          <cell r="Z20">
            <v>1.71</v>
          </cell>
          <cell r="AA20">
            <v>1.92</v>
          </cell>
          <cell r="AB20">
            <v>3.1</v>
          </cell>
          <cell r="AC20">
            <v>0.01</v>
          </cell>
          <cell r="AD20">
            <v>0.38</v>
          </cell>
          <cell r="AE20">
            <v>1.5299999999999998</v>
          </cell>
          <cell r="AF20" t="str">
            <v>-</v>
          </cell>
          <cell r="AG20" t="str">
            <v>-</v>
          </cell>
          <cell r="AH20" t="str">
            <v>-</v>
          </cell>
          <cell r="AI20" t="str">
            <v>-</v>
          </cell>
          <cell r="AJ20" t="str">
            <v>-</v>
          </cell>
          <cell r="AK20" t="str">
            <v>-</v>
          </cell>
          <cell r="AL20" t="str">
            <v>-</v>
          </cell>
          <cell r="AM20" t="str">
            <v>-</v>
          </cell>
          <cell r="AN20" t="str">
            <v>-</v>
          </cell>
          <cell r="AO20" t="str">
            <v>-</v>
          </cell>
          <cell r="AP20" t="str">
            <v>-</v>
          </cell>
          <cell r="AQ20" t="str">
            <v>-</v>
          </cell>
          <cell r="AR20" t="str">
            <v>-</v>
          </cell>
          <cell r="AS20" t="str">
            <v>-</v>
          </cell>
          <cell r="AT20" t="str">
            <v>-</v>
          </cell>
          <cell r="AU20" t="str">
            <v>-</v>
          </cell>
          <cell r="AV20" t="str">
            <v>-</v>
          </cell>
          <cell r="AW20" t="str">
            <v>-</v>
          </cell>
          <cell r="AX20" t="str">
            <v>&gt;9</v>
          </cell>
          <cell r="AY20">
            <v>53</v>
          </cell>
          <cell r="AZ20" t="str">
            <v>G2</v>
          </cell>
          <cell r="BA20">
            <v>420</v>
          </cell>
          <cell r="BB20">
            <v>445</v>
          </cell>
          <cell r="BC20">
            <v>490</v>
          </cell>
          <cell r="BD20">
            <v>24</v>
          </cell>
          <cell r="BE20">
            <v>18</v>
          </cell>
          <cell r="BF20">
            <v>41716</v>
          </cell>
          <cell r="BG20">
            <v>445</v>
          </cell>
          <cell r="BH20">
            <v>470</v>
          </cell>
          <cell r="BI20">
            <v>465</v>
          </cell>
          <cell r="BJ20">
            <v>490</v>
          </cell>
          <cell r="BK20">
            <v>45</v>
          </cell>
          <cell r="BL20">
            <v>6</v>
          </cell>
          <cell r="BM20">
            <v>0.78</v>
          </cell>
          <cell r="BN20">
            <v>41711.888194444444</v>
          </cell>
          <cell r="BO20">
            <v>58.9</v>
          </cell>
          <cell r="BP20">
            <v>23.5</v>
          </cell>
          <cell r="BQ20">
            <v>5.8</v>
          </cell>
          <cell r="BR20">
            <v>1.56</v>
          </cell>
          <cell r="BS20">
            <v>0.59</v>
          </cell>
          <cell r="BT20">
            <v>0.16</v>
          </cell>
          <cell r="BU20">
            <v>2.25</v>
          </cell>
          <cell r="BV20">
            <v>3.35</v>
          </cell>
          <cell r="BW20">
            <v>0.03</v>
          </cell>
          <cell r="BX20">
            <v>1.3</v>
          </cell>
          <cell r="BY20">
            <v>0.49</v>
          </cell>
          <cell r="BZ20">
            <v>0.28000000000000003</v>
          </cell>
          <cell r="CA20">
            <v>0.27</v>
          </cell>
          <cell r="CB20">
            <v>0.12</v>
          </cell>
          <cell r="CC20">
            <v>0.05</v>
          </cell>
          <cell r="CD20" t="str">
            <v>BV Minerals (Amdel)</v>
          </cell>
          <cell r="CE20" t="str">
            <v>L107441</v>
          </cell>
          <cell r="CF20">
            <v>78.900000000000006</v>
          </cell>
          <cell r="CG20">
            <v>31.4</v>
          </cell>
          <cell r="CH20">
            <v>50.1</v>
          </cell>
          <cell r="CI20">
            <v>77.8</v>
          </cell>
          <cell r="CJ20">
            <v>16</v>
          </cell>
        </row>
        <row r="21">
          <cell r="B21" t="str">
            <v>85015104CCC08</v>
          </cell>
          <cell r="C21" t="str">
            <v>08</v>
          </cell>
          <cell r="D21" t="str">
            <v>085-093</v>
          </cell>
          <cell r="E21" t="str">
            <v>UCB</v>
          </cell>
          <cell r="F21">
            <v>1856907</v>
          </cell>
          <cell r="G21">
            <v>154.97999999999999</v>
          </cell>
          <cell r="H21">
            <v>162.47999999999999</v>
          </cell>
          <cell r="I21">
            <v>7.5</v>
          </cell>
          <cell r="J21">
            <v>7.5</v>
          </cell>
          <cell r="K21" t="str">
            <v>C</v>
          </cell>
          <cell r="L21" t="str">
            <v>F1.45</v>
          </cell>
          <cell r="M21">
            <v>31.7</v>
          </cell>
          <cell r="N21">
            <v>1</v>
          </cell>
          <cell r="O21">
            <v>9.8000000000000007</v>
          </cell>
          <cell r="P21">
            <v>18.2</v>
          </cell>
          <cell r="Q21">
            <v>71</v>
          </cell>
          <cell r="R21">
            <v>32.200000000000003</v>
          </cell>
          <cell r="S21">
            <v>36.1</v>
          </cell>
          <cell r="T21">
            <v>1.2999999999999999E-2</v>
          </cell>
          <cell r="U21">
            <v>1.2999999999999999E-2</v>
          </cell>
          <cell r="V21" t="str">
            <v>-</v>
          </cell>
          <cell r="W21" t="str">
            <v>-</v>
          </cell>
          <cell r="X21">
            <v>78.3</v>
          </cell>
          <cell r="Y21">
            <v>4.2699999999999996</v>
          </cell>
          <cell r="Z21">
            <v>1.58</v>
          </cell>
          <cell r="AA21">
            <v>2.61</v>
          </cell>
          <cell r="AB21">
            <v>2.4</v>
          </cell>
          <cell r="AC21">
            <v>0.02</v>
          </cell>
          <cell r="AD21">
            <v>0.53</v>
          </cell>
          <cell r="AE21">
            <v>2.0599999999999996</v>
          </cell>
          <cell r="AF21" t="str">
            <v>-</v>
          </cell>
          <cell r="AG21" t="str">
            <v>-</v>
          </cell>
          <cell r="AH21" t="str">
            <v>-</v>
          </cell>
          <cell r="AI21" t="str">
            <v>-</v>
          </cell>
          <cell r="AJ21" t="str">
            <v>-</v>
          </cell>
          <cell r="AK21" t="str">
            <v>-</v>
          </cell>
          <cell r="AL21" t="str">
            <v>-</v>
          </cell>
          <cell r="AM21" t="str">
            <v>-</v>
          </cell>
          <cell r="AN21" t="str">
            <v>-</v>
          </cell>
          <cell r="AO21" t="str">
            <v>-</v>
          </cell>
          <cell r="AP21" t="str">
            <v>-</v>
          </cell>
          <cell r="AQ21" t="str">
            <v>-</v>
          </cell>
          <cell r="AR21" t="str">
            <v>-</v>
          </cell>
          <cell r="AS21" t="str">
            <v>-</v>
          </cell>
          <cell r="AT21" t="str">
            <v>-</v>
          </cell>
          <cell r="AU21" t="str">
            <v>-</v>
          </cell>
          <cell r="AV21" t="str">
            <v>-</v>
          </cell>
          <cell r="AW21" t="str">
            <v>-</v>
          </cell>
          <cell r="AX21" t="str">
            <v>&gt;9</v>
          </cell>
          <cell r="AY21">
            <v>40</v>
          </cell>
          <cell r="AZ21" t="str">
            <v>G2</v>
          </cell>
          <cell r="BA21">
            <v>425</v>
          </cell>
          <cell r="BB21">
            <v>455</v>
          </cell>
          <cell r="BC21">
            <v>485</v>
          </cell>
          <cell r="BD21">
            <v>26</v>
          </cell>
          <cell r="BE21">
            <v>-16</v>
          </cell>
          <cell r="BF21">
            <v>41717</v>
          </cell>
          <cell r="BG21">
            <v>455</v>
          </cell>
          <cell r="BH21">
            <v>475</v>
          </cell>
          <cell r="BI21">
            <v>475</v>
          </cell>
          <cell r="BJ21">
            <v>480</v>
          </cell>
          <cell r="BK21">
            <v>25</v>
          </cell>
          <cell r="BL21">
            <v>3</v>
          </cell>
          <cell r="BM21">
            <v>0.48</v>
          </cell>
          <cell r="BN21">
            <v>41715.894444444442</v>
          </cell>
          <cell r="BO21">
            <v>59.3</v>
          </cell>
          <cell r="BP21">
            <v>23.9</v>
          </cell>
          <cell r="BQ21">
            <v>7.7</v>
          </cell>
          <cell r="BR21">
            <v>1.01</v>
          </cell>
          <cell r="BS21">
            <v>0.5</v>
          </cell>
          <cell r="BT21">
            <v>0.17</v>
          </cell>
          <cell r="BU21">
            <v>1.76</v>
          </cell>
          <cell r="BV21">
            <v>2.9</v>
          </cell>
          <cell r="BW21">
            <v>0.03</v>
          </cell>
          <cell r="BX21">
            <v>0.3</v>
          </cell>
          <cell r="BY21">
            <v>0.73</v>
          </cell>
          <cell r="BZ21">
            <v>0.15</v>
          </cell>
          <cell r="CA21">
            <v>0.08</v>
          </cell>
          <cell r="CB21">
            <v>0.12</v>
          </cell>
          <cell r="CC21">
            <v>0.03</v>
          </cell>
          <cell r="CD21" t="str">
            <v>BV Minerals (Amdel)</v>
          </cell>
          <cell r="CE21" t="str">
            <v>L107441</v>
          </cell>
          <cell r="CF21">
            <v>79.099999999999994</v>
          </cell>
          <cell r="CG21">
            <v>32.9</v>
          </cell>
          <cell r="CH21">
            <v>46.6</v>
          </cell>
          <cell r="CI21">
            <v>80.5</v>
          </cell>
          <cell r="CJ21">
            <v>14.8</v>
          </cell>
        </row>
        <row r="22">
          <cell r="B22" t="str">
            <v>85015104CCC09</v>
          </cell>
          <cell r="C22" t="str">
            <v>09</v>
          </cell>
          <cell r="D22" t="str">
            <v>094-102</v>
          </cell>
          <cell r="E22" t="str">
            <v>UCB</v>
          </cell>
          <cell r="F22">
            <v>1856908</v>
          </cell>
          <cell r="G22">
            <v>162.47999999999999</v>
          </cell>
          <cell r="H22">
            <v>170.02</v>
          </cell>
          <cell r="I22">
            <v>7.45</v>
          </cell>
          <cell r="J22">
            <v>7.54</v>
          </cell>
          <cell r="K22" t="str">
            <v>C</v>
          </cell>
          <cell r="L22" t="str">
            <v>F1.45</v>
          </cell>
          <cell r="M22">
            <v>34.299999999999997</v>
          </cell>
          <cell r="N22">
            <v>0.9</v>
          </cell>
          <cell r="O22">
            <v>9</v>
          </cell>
          <cell r="P22">
            <v>18.3</v>
          </cell>
          <cell r="Q22">
            <v>71.8</v>
          </cell>
          <cell r="R22">
            <v>32.479999999999997</v>
          </cell>
          <cell r="S22">
            <v>36.049999999999997</v>
          </cell>
          <cell r="T22">
            <v>5.8000000000000003E-2</v>
          </cell>
          <cell r="U22">
            <v>5.7000000000000002E-2</v>
          </cell>
          <cell r="V22" t="str">
            <v>-</v>
          </cell>
          <cell r="W22" t="str">
            <v>-</v>
          </cell>
          <cell r="X22">
            <v>79.099999999999994</v>
          </cell>
          <cell r="Y22">
            <v>4.29</v>
          </cell>
          <cell r="Z22">
            <v>1.65</v>
          </cell>
          <cell r="AA22">
            <v>1.74</v>
          </cell>
          <cell r="AB22">
            <v>3.3</v>
          </cell>
          <cell r="AC22">
            <v>0.01</v>
          </cell>
          <cell r="AD22">
            <v>0.37</v>
          </cell>
          <cell r="AE22">
            <v>1.3599999999999999</v>
          </cell>
          <cell r="AF22" t="str">
            <v>-</v>
          </cell>
          <cell r="AG22" t="str">
            <v>-</v>
          </cell>
          <cell r="AH22" t="str">
            <v>-</v>
          </cell>
          <cell r="AI22" t="str">
            <v>-</v>
          </cell>
          <cell r="AJ22" t="str">
            <v>-</v>
          </cell>
          <cell r="AK22" t="str">
            <v>-</v>
          </cell>
          <cell r="AL22" t="str">
            <v>-</v>
          </cell>
          <cell r="AM22" t="str">
            <v>-</v>
          </cell>
          <cell r="AN22" t="str">
            <v>-</v>
          </cell>
          <cell r="AO22" t="str">
            <v>-</v>
          </cell>
          <cell r="AP22" t="str">
            <v>-</v>
          </cell>
          <cell r="AQ22" t="str">
            <v>-</v>
          </cell>
          <cell r="AR22" t="str">
            <v>-</v>
          </cell>
          <cell r="AS22" t="str">
            <v>-</v>
          </cell>
          <cell r="AT22" t="str">
            <v>-</v>
          </cell>
          <cell r="AU22" t="str">
            <v>-</v>
          </cell>
          <cell r="AV22" t="str">
            <v>-</v>
          </cell>
          <cell r="AW22" t="str">
            <v>-</v>
          </cell>
          <cell r="AX22" t="str">
            <v>&gt;9</v>
          </cell>
          <cell r="AY22">
            <v>46</v>
          </cell>
          <cell r="AZ22" t="str">
            <v>F</v>
          </cell>
          <cell r="BA22">
            <v>425</v>
          </cell>
          <cell r="BB22">
            <v>455</v>
          </cell>
          <cell r="BC22">
            <v>490</v>
          </cell>
          <cell r="BD22">
            <v>26</v>
          </cell>
          <cell r="BE22">
            <v>-10</v>
          </cell>
          <cell r="BF22">
            <v>41717</v>
          </cell>
          <cell r="BG22">
            <v>455</v>
          </cell>
          <cell r="BH22">
            <v>470</v>
          </cell>
          <cell r="BI22">
            <v>470</v>
          </cell>
          <cell r="BJ22">
            <v>490</v>
          </cell>
          <cell r="BK22">
            <v>35</v>
          </cell>
          <cell r="BL22">
            <v>3</v>
          </cell>
          <cell r="BM22">
            <v>0.48</v>
          </cell>
          <cell r="BN22">
            <v>41715.896527777775</v>
          </cell>
          <cell r="BO22">
            <v>57.8</v>
          </cell>
          <cell r="BP22">
            <v>24.6</v>
          </cell>
          <cell r="BQ22">
            <v>6</v>
          </cell>
          <cell r="BR22">
            <v>1.63</v>
          </cell>
          <cell r="BS22">
            <v>0.53</v>
          </cell>
          <cell r="BT22">
            <v>0.2</v>
          </cell>
          <cell r="BU22">
            <v>1.5</v>
          </cell>
          <cell r="BV22">
            <v>3.05</v>
          </cell>
          <cell r="BW22" t="str">
            <v>&lt;0.02</v>
          </cell>
          <cell r="BX22">
            <v>1.43</v>
          </cell>
          <cell r="BY22">
            <v>1.18</v>
          </cell>
          <cell r="BZ22">
            <v>0.49</v>
          </cell>
          <cell r="CA22">
            <v>0.4</v>
          </cell>
          <cell r="CB22">
            <v>0.1</v>
          </cell>
          <cell r="CC22">
            <v>0.04</v>
          </cell>
          <cell r="CD22" t="str">
            <v>BV Minerals (Amdel)</v>
          </cell>
          <cell r="CE22" t="str">
            <v>L107441</v>
          </cell>
          <cell r="CF22">
            <v>78.8</v>
          </cell>
          <cell r="CG22">
            <v>28.3</v>
          </cell>
          <cell r="CH22">
            <v>55.8</v>
          </cell>
          <cell r="CI22">
            <v>79.5</v>
          </cell>
          <cell r="CJ22">
            <v>14.5</v>
          </cell>
        </row>
        <row r="23">
          <cell r="B23" t="str">
            <v>85015104CCC10</v>
          </cell>
          <cell r="C23">
            <v>10</v>
          </cell>
          <cell r="D23" t="str">
            <v>106-109</v>
          </cell>
          <cell r="E23" t="str">
            <v>MCM</v>
          </cell>
          <cell r="F23">
            <v>1856909</v>
          </cell>
          <cell r="G23">
            <v>171.73</v>
          </cell>
          <cell r="H23">
            <v>174.14</v>
          </cell>
          <cell r="I23">
            <v>2.4099999999999966</v>
          </cell>
          <cell r="J23">
            <v>2.4099999999999966</v>
          </cell>
          <cell r="K23" t="str">
            <v>C</v>
          </cell>
          <cell r="L23" t="str">
            <v>F1.45</v>
          </cell>
          <cell r="M23">
            <v>28</v>
          </cell>
          <cell r="N23">
            <v>1.1000000000000001</v>
          </cell>
          <cell r="O23">
            <v>10.1</v>
          </cell>
          <cell r="P23">
            <v>18.899999999999999</v>
          </cell>
          <cell r="Q23">
            <v>69.900000000000006</v>
          </cell>
          <cell r="R23">
            <v>31.99</v>
          </cell>
          <cell r="S23">
            <v>36.020000000000003</v>
          </cell>
          <cell r="T23">
            <v>0.157</v>
          </cell>
          <cell r="U23">
            <v>0.153</v>
          </cell>
          <cell r="V23" t="str">
            <v>-</v>
          </cell>
          <cell r="W23" t="str">
            <v>-</v>
          </cell>
          <cell r="X23">
            <v>77.8</v>
          </cell>
          <cell r="Y23">
            <v>4.26</v>
          </cell>
          <cell r="Z23">
            <v>1.82</v>
          </cell>
          <cell r="AA23">
            <v>1.1000000000000001</v>
          </cell>
          <cell r="AB23">
            <v>3.8</v>
          </cell>
          <cell r="AC23">
            <v>0.01</v>
          </cell>
          <cell r="AD23">
            <v>0.1</v>
          </cell>
          <cell r="AE23">
            <v>0.9900000000000001</v>
          </cell>
          <cell r="AF23" t="str">
            <v>-</v>
          </cell>
          <cell r="AG23" t="str">
            <v>-</v>
          </cell>
          <cell r="AH23" t="str">
            <v>-</v>
          </cell>
          <cell r="AI23" t="str">
            <v>-</v>
          </cell>
          <cell r="AJ23" t="str">
            <v>-</v>
          </cell>
          <cell r="AK23" t="str">
            <v>-</v>
          </cell>
          <cell r="AL23" t="str">
            <v>-</v>
          </cell>
          <cell r="AM23" t="str">
            <v>-</v>
          </cell>
          <cell r="AN23" t="str">
            <v>-</v>
          </cell>
          <cell r="AO23" t="str">
            <v>-</v>
          </cell>
          <cell r="AP23" t="str">
            <v>-</v>
          </cell>
          <cell r="AQ23" t="str">
            <v>-</v>
          </cell>
          <cell r="AR23" t="str">
            <v>-</v>
          </cell>
          <cell r="AS23" t="str">
            <v>-</v>
          </cell>
          <cell r="AT23" t="str">
            <v>-</v>
          </cell>
          <cell r="AU23" t="str">
            <v>-</v>
          </cell>
          <cell r="AV23" t="str">
            <v>-</v>
          </cell>
          <cell r="AW23" t="str">
            <v>-</v>
          </cell>
          <cell r="AX23" t="str">
            <v>&gt;9</v>
          </cell>
          <cell r="AY23">
            <v>50</v>
          </cell>
          <cell r="AZ23" t="str">
            <v>G2</v>
          </cell>
          <cell r="BA23">
            <v>415</v>
          </cell>
          <cell r="BB23">
            <v>445</v>
          </cell>
          <cell r="BC23">
            <v>485</v>
          </cell>
          <cell r="BD23">
            <v>24</v>
          </cell>
          <cell r="BE23">
            <v>18</v>
          </cell>
          <cell r="BF23">
            <v>41718</v>
          </cell>
          <cell r="BG23">
            <v>445</v>
          </cell>
          <cell r="BH23">
            <v>475</v>
          </cell>
          <cell r="BI23">
            <v>465</v>
          </cell>
          <cell r="BJ23">
            <v>490</v>
          </cell>
          <cell r="BK23">
            <v>45</v>
          </cell>
          <cell r="BL23">
            <v>7</v>
          </cell>
          <cell r="BM23">
            <v>0.85</v>
          </cell>
          <cell r="BN23">
            <v>41715.895138888889</v>
          </cell>
          <cell r="BO23">
            <v>54.9</v>
          </cell>
          <cell r="BP23">
            <v>25.9</v>
          </cell>
          <cell r="BQ23">
            <v>2.66</v>
          </cell>
          <cell r="BR23">
            <v>3.93</v>
          </cell>
          <cell r="BS23">
            <v>0.49</v>
          </cell>
          <cell r="BT23">
            <v>0.23</v>
          </cell>
          <cell r="BU23">
            <v>1.75</v>
          </cell>
          <cell r="BV23">
            <v>3.42</v>
          </cell>
          <cell r="BW23">
            <v>0.03</v>
          </cell>
          <cell r="BX23">
            <v>3.44</v>
          </cell>
          <cell r="BY23">
            <v>0.7</v>
          </cell>
          <cell r="BZ23">
            <v>0.41</v>
          </cell>
          <cell r="CA23">
            <v>0.3</v>
          </cell>
          <cell r="CB23">
            <v>0.15</v>
          </cell>
          <cell r="CC23">
            <v>7.0000000000000007E-2</v>
          </cell>
          <cell r="CD23" t="str">
            <v>BV Minerals (Amdel)</v>
          </cell>
          <cell r="CE23" t="str">
            <v>L107441</v>
          </cell>
          <cell r="CF23">
            <v>80.5</v>
          </cell>
          <cell r="CG23">
            <v>24.2</v>
          </cell>
          <cell r="CH23">
            <v>60.1</v>
          </cell>
          <cell r="CI23">
            <v>73.8</v>
          </cell>
          <cell r="CJ23">
            <v>17.3</v>
          </cell>
        </row>
        <row r="24">
          <cell r="B24" t="str">
            <v>85015104CCC11</v>
          </cell>
          <cell r="C24">
            <v>11</v>
          </cell>
          <cell r="D24" t="str">
            <v>112-122</v>
          </cell>
          <cell r="E24" t="str">
            <v>LCUT_LCUB</v>
          </cell>
          <cell r="F24">
            <v>1856910</v>
          </cell>
          <cell r="G24">
            <v>175.13</v>
          </cell>
          <cell r="H24">
            <v>180.19</v>
          </cell>
          <cell r="I24">
            <v>5.01</v>
          </cell>
          <cell r="J24">
            <v>5.0600000000000023</v>
          </cell>
          <cell r="K24" t="str">
            <v>C</v>
          </cell>
          <cell r="L24" t="str">
            <v>F1.45</v>
          </cell>
          <cell r="M24">
            <v>25.1</v>
          </cell>
          <cell r="N24">
            <v>1.2</v>
          </cell>
          <cell r="O24">
            <v>10.7</v>
          </cell>
          <cell r="P24">
            <v>18.3</v>
          </cell>
          <cell r="Q24">
            <v>69.8</v>
          </cell>
          <cell r="R24">
            <v>31.75</v>
          </cell>
          <cell r="S24">
            <v>36.04</v>
          </cell>
          <cell r="T24">
            <v>0.124</v>
          </cell>
          <cell r="U24">
            <v>0.12</v>
          </cell>
          <cell r="V24" t="str">
            <v>-</v>
          </cell>
          <cell r="W24" t="str">
            <v>-</v>
          </cell>
          <cell r="X24">
            <v>76.900000000000006</v>
          </cell>
          <cell r="Y24">
            <v>4.2</v>
          </cell>
          <cell r="Z24">
            <v>1.82</v>
          </cell>
          <cell r="AA24">
            <v>0.91</v>
          </cell>
          <cell r="AB24">
            <v>4.3</v>
          </cell>
          <cell r="AC24" t="str">
            <v>&lt;0.01</v>
          </cell>
          <cell r="AD24">
            <v>0.06</v>
          </cell>
          <cell r="AE24">
            <v>0.85000000000000009</v>
          </cell>
          <cell r="AF24" t="str">
            <v>-</v>
          </cell>
          <cell r="AG24" t="str">
            <v>-</v>
          </cell>
          <cell r="AH24" t="str">
            <v>-</v>
          </cell>
          <cell r="AI24" t="str">
            <v>-</v>
          </cell>
          <cell r="AJ24" t="str">
            <v>-</v>
          </cell>
          <cell r="AK24" t="str">
            <v>-</v>
          </cell>
          <cell r="AL24" t="str">
            <v>-</v>
          </cell>
          <cell r="AM24" t="str">
            <v>-</v>
          </cell>
          <cell r="AN24" t="str">
            <v>-</v>
          </cell>
          <cell r="AO24" t="str">
            <v>-</v>
          </cell>
          <cell r="AP24" t="str">
            <v>-</v>
          </cell>
          <cell r="AQ24" t="str">
            <v>-</v>
          </cell>
          <cell r="AR24" t="str">
            <v>-</v>
          </cell>
          <cell r="AS24" t="str">
            <v>-</v>
          </cell>
          <cell r="AT24" t="str">
            <v>-</v>
          </cell>
          <cell r="AU24" t="str">
            <v>-</v>
          </cell>
          <cell r="AV24" t="str">
            <v>-</v>
          </cell>
          <cell r="AW24" t="str">
            <v>-</v>
          </cell>
          <cell r="AX24" t="str">
            <v>&gt;9</v>
          </cell>
          <cell r="AY24">
            <v>46</v>
          </cell>
          <cell r="AZ24" t="str">
            <v>G7</v>
          </cell>
          <cell r="BA24">
            <v>425</v>
          </cell>
          <cell r="BB24">
            <v>460</v>
          </cell>
          <cell r="BC24">
            <v>485</v>
          </cell>
          <cell r="BD24">
            <v>18</v>
          </cell>
          <cell r="BE24">
            <v>-2</v>
          </cell>
          <cell r="BF24">
            <v>41722</v>
          </cell>
          <cell r="BG24">
            <v>450</v>
          </cell>
          <cell r="BH24">
            <v>470</v>
          </cell>
          <cell r="BI24">
            <v>470</v>
          </cell>
          <cell r="BJ24">
            <v>490</v>
          </cell>
          <cell r="BK24">
            <v>40</v>
          </cell>
          <cell r="BL24">
            <v>3</v>
          </cell>
          <cell r="BM24">
            <v>0.48</v>
          </cell>
          <cell r="BN24">
            <v>41706.574305555558</v>
          </cell>
          <cell r="BO24">
            <v>56.9</v>
          </cell>
          <cell r="BP24">
            <v>24.8</v>
          </cell>
          <cell r="BQ24">
            <v>1.96</v>
          </cell>
          <cell r="BR24">
            <v>3.91</v>
          </cell>
          <cell r="BS24">
            <v>0.71</v>
          </cell>
          <cell r="BT24">
            <v>0.22</v>
          </cell>
          <cell r="BU24">
            <v>1.6</v>
          </cell>
          <cell r="BV24">
            <v>3.36</v>
          </cell>
          <cell r="BW24">
            <v>0.02</v>
          </cell>
          <cell r="BX24">
            <v>2.5499999999999998</v>
          </cell>
          <cell r="BY24">
            <v>1.74</v>
          </cell>
          <cell r="BZ24">
            <v>0.42</v>
          </cell>
          <cell r="CA24">
            <v>0.28999999999999998</v>
          </cell>
          <cell r="CB24">
            <v>0.1</v>
          </cell>
          <cell r="CC24">
            <v>0.04</v>
          </cell>
          <cell r="CD24" t="str">
            <v>BV Minerals (Amdel)</v>
          </cell>
          <cell r="CE24" t="str">
            <v>L107441</v>
          </cell>
          <cell r="CF24">
            <v>78.900000000000006</v>
          </cell>
          <cell r="CG24">
            <v>25.5</v>
          </cell>
          <cell r="CH24">
            <v>58.4</v>
          </cell>
          <cell r="CI24">
            <v>76.3</v>
          </cell>
          <cell r="CJ24">
            <v>16.8</v>
          </cell>
        </row>
        <row r="25">
          <cell r="B25" t="str">
            <v>85015104CCC12</v>
          </cell>
          <cell r="C25">
            <v>12</v>
          </cell>
          <cell r="D25" t="str">
            <v>123-127</v>
          </cell>
          <cell r="E25" t="str">
            <v>LC45_LC46</v>
          </cell>
          <cell r="F25">
            <v>1856911</v>
          </cell>
          <cell r="G25">
            <v>180.19</v>
          </cell>
          <cell r="H25">
            <v>182.71</v>
          </cell>
          <cell r="I25">
            <v>2.52</v>
          </cell>
          <cell r="J25">
            <v>2.52</v>
          </cell>
          <cell r="K25" t="str">
            <v>C</v>
          </cell>
          <cell r="L25" t="str">
            <v>F1.45</v>
          </cell>
          <cell r="M25">
            <v>62.2</v>
          </cell>
          <cell r="N25">
            <v>1.2</v>
          </cell>
          <cell r="O25">
            <v>10.8</v>
          </cell>
          <cell r="P25">
            <v>18</v>
          </cell>
          <cell r="Q25">
            <v>70</v>
          </cell>
          <cell r="R25">
            <v>31.82</v>
          </cell>
          <cell r="S25">
            <v>36.159999999999997</v>
          </cell>
          <cell r="T25">
            <v>5.0000000000000001E-3</v>
          </cell>
          <cell r="U25">
            <v>4.0000000000000001E-3</v>
          </cell>
          <cell r="V25" t="str">
            <v>-</v>
          </cell>
          <cell r="W25" t="str">
            <v>-</v>
          </cell>
          <cell r="X25">
            <v>77.3</v>
          </cell>
          <cell r="Y25">
            <v>4.17</v>
          </cell>
          <cell r="Z25">
            <v>1.95</v>
          </cell>
          <cell r="AA25">
            <v>0.79</v>
          </cell>
          <cell r="AB25">
            <v>3.8</v>
          </cell>
          <cell r="AC25" t="str">
            <v>&lt;0.01</v>
          </cell>
          <cell r="AD25">
            <v>0.03</v>
          </cell>
          <cell r="AE25">
            <v>0.76</v>
          </cell>
          <cell r="AF25" t="str">
            <v>-</v>
          </cell>
          <cell r="AG25" t="str">
            <v>-</v>
          </cell>
          <cell r="AH25" t="str">
            <v>-</v>
          </cell>
          <cell r="AI25" t="str">
            <v>-</v>
          </cell>
          <cell r="AJ25" t="str">
            <v>-</v>
          </cell>
          <cell r="AK25" t="str">
            <v>-</v>
          </cell>
          <cell r="AL25" t="str">
            <v>-</v>
          </cell>
          <cell r="AM25" t="str">
            <v>-</v>
          </cell>
          <cell r="AN25" t="str">
            <v>-</v>
          </cell>
          <cell r="AO25" t="str">
            <v>-</v>
          </cell>
          <cell r="AP25" t="str">
            <v>-</v>
          </cell>
          <cell r="AQ25" t="str">
            <v>-</v>
          </cell>
          <cell r="AR25" t="str">
            <v>-</v>
          </cell>
          <cell r="AS25" t="str">
            <v>-</v>
          </cell>
          <cell r="AT25" t="str">
            <v>-</v>
          </cell>
          <cell r="AU25" t="str">
            <v>-</v>
          </cell>
          <cell r="AV25" t="str">
            <v>-</v>
          </cell>
          <cell r="AW25" t="str">
            <v>-</v>
          </cell>
          <cell r="AX25" t="str">
            <v>&gt;9</v>
          </cell>
          <cell r="AY25">
            <v>50</v>
          </cell>
          <cell r="AZ25" t="str">
            <v>G10</v>
          </cell>
          <cell r="BA25">
            <v>425</v>
          </cell>
          <cell r="BB25">
            <v>455</v>
          </cell>
          <cell r="BC25">
            <v>485</v>
          </cell>
          <cell r="BD25">
            <v>18</v>
          </cell>
          <cell r="BE25">
            <v>6</v>
          </cell>
          <cell r="BF25">
            <v>41723</v>
          </cell>
          <cell r="BG25">
            <v>450</v>
          </cell>
          <cell r="BH25">
            <v>475</v>
          </cell>
          <cell r="BI25">
            <v>465</v>
          </cell>
          <cell r="BJ25">
            <v>490</v>
          </cell>
          <cell r="BK25">
            <v>40</v>
          </cell>
          <cell r="BL25">
            <v>9</v>
          </cell>
          <cell r="BM25">
            <v>0.95</v>
          </cell>
          <cell r="BN25">
            <v>41718.662499999999</v>
          </cell>
          <cell r="BO25">
            <v>69.7</v>
          </cell>
          <cell r="BP25">
            <v>22.2</v>
          </cell>
          <cell r="BQ25">
            <v>1.1200000000000001</v>
          </cell>
          <cell r="BR25">
            <v>0.91</v>
          </cell>
          <cell r="BS25">
            <v>0.47</v>
          </cell>
          <cell r="BT25">
            <v>0.28000000000000003</v>
          </cell>
          <cell r="BU25">
            <v>1.81</v>
          </cell>
          <cell r="BV25">
            <v>1.62</v>
          </cell>
          <cell r="BW25" t="str">
            <v>&lt;0.02</v>
          </cell>
          <cell r="BX25">
            <v>0.09</v>
          </cell>
          <cell r="BY25">
            <v>0.8</v>
          </cell>
          <cell r="BZ25">
            <v>0.08</v>
          </cell>
          <cell r="CA25" t="str">
            <v>&lt;0.02</v>
          </cell>
          <cell r="CB25">
            <v>0.06</v>
          </cell>
          <cell r="CC25">
            <v>0.03</v>
          </cell>
          <cell r="CD25" t="str">
            <v>BV Minerals (Amdel)</v>
          </cell>
          <cell r="CE25" t="str">
            <v>L107441</v>
          </cell>
          <cell r="CF25">
            <v>79.099999999999994</v>
          </cell>
          <cell r="CG25">
            <v>22.7</v>
          </cell>
          <cell r="CH25">
            <v>63.7</v>
          </cell>
          <cell r="CI25">
            <v>79.5</v>
          </cell>
          <cell r="CJ25">
            <v>13</v>
          </cell>
        </row>
        <row r="26">
          <cell r="B26" t="str">
            <v>85015104CCC13</v>
          </cell>
          <cell r="C26">
            <v>13</v>
          </cell>
          <cell r="D26" t="str">
            <v>002-029</v>
          </cell>
          <cell r="E26" t="str">
            <v>BNU1_BNU2</v>
          </cell>
          <cell r="F26">
            <v>1854189</v>
          </cell>
          <cell r="G26">
            <v>12.66</v>
          </cell>
          <cell r="H26">
            <v>27.38</v>
          </cell>
          <cell r="I26">
            <v>14.719999999999999</v>
          </cell>
          <cell r="J26">
            <v>14.719999999999999</v>
          </cell>
          <cell r="K26" t="str">
            <v>TE</v>
          </cell>
          <cell r="L26" t="str">
            <v>S1.45F1.50</v>
          </cell>
          <cell r="M26">
            <v>7.1</v>
          </cell>
          <cell r="N26">
            <v>2.6</v>
          </cell>
          <cell r="O26">
            <v>23.3</v>
          </cell>
          <cell r="P26">
            <v>27.8</v>
          </cell>
          <cell r="Q26">
            <v>46.3</v>
          </cell>
          <cell r="R26">
            <v>25.03</v>
          </cell>
          <cell r="S26">
            <v>33.78</v>
          </cell>
          <cell r="T26">
            <v>0.17399999999999999</v>
          </cell>
          <cell r="U26">
            <v>0.16900000000000001</v>
          </cell>
          <cell r="V26">
            <v>83</v>
          </cell>
          <cell r="W26">
            <v>11.8</v>
          </cell>
          <cell r="X26">
            <v>61.2</v>
          </cell>
          <cell r="Y26">
            <v>4.04</v>
          </cell>
          <cell r="Z26" t="str">
            <v>-</v>
          </cell>
          <cell r="AA26">
            <v>0.35</v>
          </cell>
          <cell r="AB26" t="str">
            <v>-</v>
          </cell>
          <cell r="AC26" t="str">
            <v>-</v>
          </cell>
          <cell r="AD26" t="str">
            <v>-</v>
          </cell>
          <cell r="AE26" t="str">
            <v>-</v>
          </cell>
          <cell r="AF26">
            <v>1440</v>
          </cell>
          <cell r="AG26">
            <v>1480</v>
          </cell>
          <cell r="AH26">
            <v>1500</v>
          </cell>
          <cell r="AI26">
            <v>1540</v>
          </cell>
          <cell r="AJ26">
            <v>1490</v>
          </cell>
          <cell r="AK26">
            <v>1520</v>
          </cell>
          <cell r="AL26">
            <v>1530</v>
          </cell>
          <cell r="AM26">
            <v>1550</v>
          </cell>
          <cell r="AN26">
            <v>2.1</v>
          </cell>
          <cell r="AO26">
            <v>12</v>
          </cell>
          <cell r="AP26">
            <v>0.23</v>
          </cell>
          <cell r="AQ26">
            <v>11</v>
          </cell>
          <cell r="AR26">
            <v>0.12</v>
          </cell>
          <cell r="AS26">
            <v>3</v>
          </cell>
          <cell r="AT26">
            <v>0.3</v>
          </cell>
          <cell r="AU26">
            <v>480</v>
          </cell>
          <cell r="AV26" t="str">
            <v>BV Minerals (Amdel)</v>
          </cell>
          <cell r="AW26" t="str">
            <v>L106922</v>
          </cell>
          <cell r="AX26">
            <v>8</v>
          </cell>
          <cell r="AY26" t="str">
            <v>-</v>
          </cell>
          <cell r="AZ26" t="str">
            <v>-</v>
          </cell>
          <cell r="BA26" t="str">
            <v>-</v>
          </cell>
          <cell r="BB26" t="str">
            <v>-</v>
          </cell>
          <cell r="BC26" t="str">
            <v>-</v>
          </cell>
          <cell r="BD26" t="str">
            <v>-</v>
          </cell>
          <cell r="BE26" t="str">
            <v>-</v>
          </cell>
          <cell r="BF26" t="str">
            <v>-</v>
          </cell>
          <cell r="BG26" t="str">
            <v>-</v>
          </cell>
          <cell r="BH26" t="str">
            <v>-</v>
          </cell>
          <cell r="BI26" t="str">
            <v>-</v>
          </cell>
          <cell r="BJ26" t="str">
            <v>-</v>
          </cell>
          <cell r="BK26" t="str">
            <v>-</v>
          </cell>
          <cell r="BL26" t="str">
            <v>-</v>
          </cell>
          <cell r="BM26" t="str">
            <v>-</v>
          </cell>
          <cell r="BN26" t="str">
            <v>-</v>
          </cell>
          <cell r="BO26">
            <v>59.5</v>
          </cell>
          <cell r="BP26">
            <v>25.7</v>
          </cell>
          <cell r="BQ26">
            <v>6.3</v>
          </cell>
          <cell r="BR26">
            <v>2.06</v>
          </cell>
          <cell r="BS26">
            <v>0.57999999999999996</v>
          </cell>
          <cell r="BT26">
            <v>0.09</v>
          </cell>
          <cell r="BU26">
            <v>2.1</v>
          </cell>
          <cell r="BV26">
            <v>1.08</v>
          </cell>
          <cell r="BW26">
            <v>0.06</v>
          </cell>
          <cell r="BX26">
            <v>1.62</v>
          </cell>
          <cell r="BY26">
            <v>0.33</v>
          </cell>
          <cell r="BZ26">
            <v>0.11</v>
          </cell>
          <cell r="CA26">
            <v>0.11</v>
          </cell>
          <cell r="CB26">
            <v>0.02</v>
          </cell>
          <cell r="CC26">
            <v>0.04</v>
          </cell>
          <cell r="CD26" t="str">
            <v>BV Minerals (Amdel)</v>
          </cell>
          <cell r="CE26" t="str">
            <v>L106952</v>
          </cell>
          <cell r="CF26" t="str">
            <v>-</v>
          </cell>
          <cell r="CG26" t="str">
            <v>-</v>
          </cell>
          <cell r="CH26" t="str">
            <v>-</v>
          </cell>
          <cell r="CI26" t="str">
            <v>-</v>
          </cell>
          <cell r="CJ26" t="str">
            <v>-</v>
          </cell>
        </row>
        <row r="27">
          <cell r="B27" t="str">
            <v>85015104CCC14</v>
          </cell>
          <cell r="C27">
            <v>14</v>
          </cell>
          <cell r="D27" t="str">
            <v>032-049</v>
          </cell>
          <cell r="E27" t="str">
            <v>BNL1_BNL2</v>
          </cell>
          <cell r="F27">
            <v>1854190</v>
          </cell>
          <cell r="G27">
            <v>75.59</v>
          </cell>
          <cell r="H27">
            <v>87.8</v>
          </cell>
          <cell r="I27">
            <v>11.629999999999995</v>
          </cell>
          <cell r="J27">
            <v>12.209999999999994</v>
          </cell>
          <cell r="K27" t="str">
            <v>TE</v>
          </cell>
          <cell r="L27" t="str">
            <v>S1.45F1.50</v>
          </cell>
          <cell r="M27">
            <v>3.4</v>
          </cell>
          <cell r="N27">
            <v>1.2</v>
          </cell>
          <cell r="O27">
            <v>25.6</v>
          </cell>
          <cell r="P27">
            <v>18.5</v>
          </cell>
          <cell r="Q27">
            <v>54.7</v>
          </cell>
          <cell r="R27">
            <v>25.96</v>
          </cell>
          <cell r="S27">
            <v>35.46</v>
          </cell>
          <cell r="T27">
            <v>0.161</v>
          </cell>
          <cell r="U27">
            <v>0.161</v>
          </cell>
          <cell r="V27">
            <v>80</v>
          </cell>
          <cell r="W27">
            <v>15.4</v>
          </cell>
          <cell r="X27">
            <v>63.6</v>
          </cell>
          <cell r="Y27">
            <v>3.64</v>
          </cell>
          <cell r="Z27">
            <v>1.51</v>
          </cell>
          <cell r="AA27">
            <v>0.76</v>
          </cell>
          <cell r="AB27">
            <v>3.7</v>
          </cell>
          <cell r="AC27" t="str">
            <v>-</v>
          </cell>
          <cell r="AD27" t="str">
            <v>-</v>
          </cell>
          <cell r="AE27" t="str">
            <v>-</v>
          </cell>
          <cell r="AF27">
            <v>1480</v>
          </cell>
          <cell r="AG27">
            <v>1540</v>
          </cell>
          <cell r="AH27">
            <v>1540</v>
          </cell>
          <cell r="AI27" t="str">
            <v>+1560</v>
          </cell>
          <cell r="AJ27">
            <v>1500</v>
          </cell>
          <cell r="AK27">
            <v>1550</v>
          </cell>
          <cell r="AL27" t="str">
            <v>+1560</v>
          </cell>
          <cell r="AM27" t="str">
            <v>+1560</v>
          </cell>
          <cell r="AN27">
            <v>2.8</v>
          </cell>
          <cell r="AO27">
            <v>11.1</v>
          </cell>
          <cell r="AP27">
            <v>0.4</v>
          </cell>
          <cell r="AQ27">
            <v>17</v>
          </cell>
          <cell r="AR27">
            <v>0.1</v>
          </cell>
          <cell r="AS27">
            <v>4</v>
          </cell>
          <cell r="AT27">
            <v>0.4</v>
          </cell>
          <cell r="AU27">
            <v>410</v>
          </cell>
          <cell r="AV27" t="str">
            <v>BV Minerals (Amdel)</v>
          </cell>
          <cell r="AW27" t="str">
            <v>L106905</v>
          </cell>
          <cell r="AX27">
            <v>7.5</v>
          </cell>
          <cell r="AY27" t="str">
            <v>-</v>
          </cell>
          <cell r="AZ27" t="str">
            <v>-</v>
          </cell>
          <cell r="BA27" t="str">
            <v>-</v>
          </cell>
          <cell r="BB27" t="str">
            <v>-</v>
          </cell>
          <cell r="BC27" t="str">
            <v>-</v>
          </cell>
          <cell r="BD27" t="str">
            <v>-</v>
          </cell>
          <cell r="BE27" t="str">
            <v>-</v>
          </cell>
          <cell r="BF27" t="str">
            <v>-</v>
          </cell>
          <cell r="BG27" t="str">
            <v>-</v>
          </cell>
          <cell r="BH27" t="str">
            <v>-</v>
          </cell>
          <cell r="BI27" t="str">
            <v>-</v>
          </cell>
          <cell r="BJ27" t="str">
            <v>-</v>
          </cell>
          <cell r="BK27" t="str">
            <v>-</v>
          </cell>
          <cell r="BL27" t="str">
            <v>-</v>
          </cell>
          <cell r="BM27" t="str">
            <v>-</v>
          </cell>
          <cell r="BN27" t="str">
            <v>-</v>
          </cell>
          <cell r="BO27">
            <v>64.8</v>
          </cell>
          <cell r="BP27">
            <v>23.9</v>
          </cell>
          <cell r="BQ27">
            <v>3.16</v>
          </cell>
          <cell r="BR27">
            <v>1.42</v>
          </cell>
          <cell r="BS27">
            <v>0.61</v>
          </cell>
          <cell r="BT27">
            <v>0.09</v>
          </cell>
          <cell r="BU27">
            <v>2.5499999999999998</v>
          </cell>
          <cell r="BV27">
            <v>1.17</v>
          </cell>
          <cell r="BW27">
            <v>0.03</v>
          </cell>
          <cell r="BX27">
            <v>1.42</v>
          </cell>
          <cell r="BY27">
            <v>0.18</v>
          </cell>
          <cell r="BZ27">
            <v>0.28999999999999998</v>
          </cell>
          <cell r="CA27">
            <v>0.12</v>
          </cell>
          <cell r="CB27">
            <v>0.04</v>
          </cell>
          <cell r="CC27">
            <v>0.05</v>
          </cell>
          <cell r="CD27" t="str">
            <v>BV Minerals (Amdel)</v>
          </cell>
          <cell r="CE27" t="str">
            <v>L106918</v>
          </cell>
          <cell r="CF27" t="str">
            <v>-</v>
          </cell>
          <cell r="CG27" t="str">
            <v>-</v>
          </cell>
          <cell r="CH27" t="str">
            <v>-</v>
          </cell>
          <cell r="CI27" t="str">
            <v>-</v>
          </cell>
          <cell r="CJ27" t="str">
            <v>-</v>
          </cell>
        </row>
        <row r="28">
          <cell r="B28" t="str">
            <v>85015104CCC15</v>
          </cell>
          <cell r="C28">
            <v>15</v>
          </cell>
          <cell r="D28" t="str">
            <v>050-069</v>
          </cell>
          <cell r="E28" t="str">
            <v>BNL2_BNL3</v>
          </cell>
          <cell r="F28">
            <v>1854191</v>
          </cell>
          <cell r="G28">
            <v>87.85</v>
          </cell>
          <cell r="H28">
            <v>99.25</v>
          </cell>
          <cell r="I28">
            <v>11.210000000000008</v>
          </cell>
          <cell r="J28">
            <v>11.400000000000006</v>
          </cell>
          <cell r="K28" t="str">
            <v>TE</v>
          </cell>
          <cell r="L28" t="str">
            <v>S1.45F1.50</v>
          </cell>
          <cell r="M28">
            <v>8.1999999999999993</v>
          </cell>
          <cell r="N28">
            <v>1.1000000000000001</v>
          </cell>
          <cell r="O28">
            <v>24.3</v>
          </cell>
          <cell r="P28">
            <v>18.100000000000001</v>
          </cell>
          <cell r="Q28">
            <v>56.5</v>
          </cell>
          <cell r="R28">
            <v>26.49</v>
          </cell>
          <cell r="S28">
            <v>35.51</v>
          </cell>
          <cell r="T28">
            <v>4.7E-2</v>
          </cell>
          <cell r="U28">
            <v>4.7E-2</v>
          </cell>
          <cell r="V28">
            <v>81</v>
          </cell>
          <cell r="W28">
            <v>11.6</v>
          </cell>
          <cell r="X28">
            <v>64.7</v>
          </cell>
          <cell r="Y28">
            <v>3.71</v>
          </cell>
          <cell r="Z28">
            <v>1.51</v>
          </cell>
          <cell r="AA28">
            <v>0.76</v>
          </cell>
          <cell r="AB28">
            <v>3.9</v>
          </cell>
          <cell r="AC28" t="str">
            <v>-</v>
          </cell>
          <cell r="AD28" t="str">
            <v>-</v>
          </cell>
          <cell r="AE28" t="str">
            <v>-</v>
          </cell>
          <cell r="AF28" t="str">
            <v>+1560</v>
          </cell>
          <cell r="AG28" t="str">
            <v>+1560</v>
          </cell>
          <cell r="AH28" t="str">
            <v>+1560</v>
          </cell>
          <cell r="AI28" t="str">
            <v>+1560</v>
          </cell>
          <cell r="AJ28" t="str">
            <v>+1560</v>
          </cell>
          <cell r="AK28" t="str">
            <v>+1560</v>
          </cell>
          <cell r="AL28" t="str">
            <v>+1560</v>
          </cell>
          <cell r="AM28" t="str">
            <v>+1560</v>
          </cell>
          <cell r="AN28">
            <v>2.8</v>
          </cell>
          <cell r="AO28">
            <v>12.9</v>
          </cell>
          <cell r="AP28">
            <v>0.33</v>
          </cell>
          <cell r="AQ28">
            <v>15</v>
          </cell>
          <cell r="AR28">
            <v>0.09</v>
          </cell>
          <cell r="AS28">
            <v>4</v>
          </cell>
          <cell r="AT28">
            <v>0.6</v>
          </cell>
          <cell r="AU28">
            <v>330</v>
          </cell>
          <cell r="AV28" t="str">
            <v>BV Minerals (Amdel)</v>
          </cell>
          <cell r="AW28" t="str">
            <v>L106922</v>
          </cell>
          <cell r="AX28">
            <v>7</v>
          </cell>
          <cell r="AY28" t="str">
            <v>-</v>
          </cell>
          <cell r="AZ28" t="str">
            <v>-</v>
          </cell>
          <cell r="BA28" t="str">
            <v>-</v>
          </cell>
          <cell r="BB28" t="str">
            <v>-</v>
          </cell>
          <cell r="BC28" t="str">
            <v>-</v>
          </cell>
          <cell r="BD28" t="str">
            <v>-</v>
          </cell>
          <cell r="BE28" t="str">
            <v>-</v>
          </cell>
          <cell r="BF28" t="str">
            <v>-</v>
          </cell>
          <cell r="BG28" t="str">
            <v>-</v>
          </cell>
          <cell r="BH28" t="str">
            <v>-</v>
          </cell>
          <cell r="BI28" t="str">
            <v>-</v>
          </cell>
          <cell r="BJ28" t="str">
            <v>-</v>
          </cell>
          <cell r="BK28" t="str">
            <v>-</v>
          </cell>
          <cell r="BL28" t="str">
            <v>-</v>
          </cell>
          <cell r="BM28" t="str">
            <v>-</v>
          </cell>
          <cell r="BN28" t="str">
            <v>-</v>
          </cell>
          <cell r="BO28">
            <v>63.8</v>
          </cell>
          <cell r="BP28">
            <v>26.8</v>
          </cell>
          <cell r="BQ28">
            <v>2.95</v>
          </cell>
          <cell r="BR28">
            <v>0.63</v>
          </cell>
          <cell r="BS28">
            <v>0.66</v>
          </cell>
          <cell r="BT28">
            <v>0.11</v>
          </cell>
          <cell r="BU28">
            <v>2.2400000000000002</v>
          </cell>
          <cell r="BV28">
            <v>1.18</v>
          </cell>
          <cell r="BW28">
            <v>0.03</v>
          </cell>
          <cell r="BX28">
            <v>0.44</v>
          </cell>
          <cell r="BY28">
            <v>0.33</v>
          </cell>
          <cell r="BZ28">
            <v>0.11</v>
          </cell>
          <cell r="CA28">
            <v>0.08</v>
          </cell>
          <cell r="CB28">
            <v>0.03</v>
          </cell>
          <cell r="CC28">
            <v>0.03</v>
          </cell>
          <cell r="CD28" t="str">
            <v>BV Minerals (Amdel)</v>
          </cell>
          <cell r="CE28" t="str">
            <v>L106952</v>
          </cell>
          <cell r="CF28" t="str">
            <v>-</v>
          </cell>
          <cell r="CG28" t="str">
            <v>-</v>
          </cell>
          <cell r="CH28" t="str">
            <v>-</v>
          </cell>
          <cell r="CI28" t="str">
            <v>-</v>
          </cell>
          <cell r="CJ28" t="str">
            <v>-</v>
          </cell>
        </row>
        <row r="29">
          <cell r="B29" t="str">
            <v>85015104CCC16</v>
          </cell>
          <cell r="C29">
            <v>16</v>
          </cell>
          <cell r="D29" t="str">
            <v>072-075</v>
          </cell>
          <cell r="E29" t="str">
            <v>BR</v>
          </cell>
          <cell r="F29">
            <v>1854192</v>
          </cell>
          <cell r="G29">
            <v>116.5</v>
          </cell>
          <cell r="H29">
            <v>119.03</v>
          </cell>
          <cell r="I29">
            <v>2.5300000000000011</v>
          </cell>
          <cell r="J29">
            <v>2.5300000000000011</v>
          </cell>
          <cell r="K29" t="str">
            <v>TE</v>
          </cell>
          <cell r="L29" t="str">
            <v>S1.45F1.50</v>
          </cell>
          <cell r="M29">
            <v>16.8</v>
          </cell>
          <cell r="N29">
            <v>1</v>
          </cell>
          <cell r="O29">
            <v>24</v>
          </cell>
          <cell r="P29">
            <v>16.5</v>
          </cell>
          <cell r="Q29">
            <v>58.5</v>
          </cell>
          <cell r="R29">
            <v>26.57</v>
          </cell>
          <cell r="S29">
            <v>35.43</v>
          </cell>
          <cell r="T29">
            <v>0.22800000000000001</v>
          </cell>
          <cell r="U29">
            <v>0.22700000000000001</v>
          </cell>
          <cell r="V29">
            <v>79</v>
          </cell>
          <cell r="W29">
            <v>11.2</v>
          </cell>
          <cell r="X29">
            <v>65.2</v>
          </cell>
          <cell r="Y29">
            <v>3.59</v>
          </cell>
          <cell r="Z29">
            <v>1.51</v>
          </cell>
          <cell r="AA29">
            <v>0.93</v>
          </cell>
          <cell r="AB29">
            <v>3.8</v>
          </cell>
          <cell r="AC29" t="str">
            <v>-</v>
          </cell>
          <cell r="AD29" t="str">
            <v>-</v>
          </cell>
          <cell r="AE29" t="str">
            <v>-</v>
          </cell>
          <cell r="AF29">
            <v>1560</v>
          </cell>
          <cell r="AG29" t="str">
            <v>+1560</v>
          </cell>
          <cell r="AH29" t="str">
            <v>+1560</v>
          </cell>
          <cell r="AI29" t="str">
            <v>+1560</v>
          </cell>
          <cell r="AJ29" t="str">
            <v>+1560</v>
          </cell>
          <cell r="AK29" t="str">
            <v>+1560</v>
          </cell>
          <cell r="AL29" t="str">
            <v>+1560</v>
          </cell>
          <cell r="AM29" t="str">
            <v>+1560</v>
          </cell>
          <cell r="AN29">
            <v>1</v>
          </cell>
          <cell r="AO29">
            <v>7</v>
          </cell>
          <cell r="AP29">
            <v>0.23</v>
          </cell>
          <cell r="AQ29">
            <v>12</v>
          </cell>
          <cell r="AR29">
            <v>0.04</v>
          </cell>
          <cell r="AS29">
            <v>3</v>
          </cell>
          <cell r="AT29">
            <v>0.5</v>
          </cell>
          <cell r="AU29">
            <v>700</v>
          </cell>
          <cell r="AV29" t="str">
            <v>BV Minerals (Amdel)</v>
          </cell>
          <cell r="AW29" t="str">
            <v>L106922</v>
          </cell>
          <cell r="AX29">
            <v>4</v>
          </cell>
          <cell r="AY29" t="str">
            <v>-</v>
          </cell>
          <cell r="AZ29" t="str">
            <v>-</v>
          </cell>
          <cell r="BA29" t="str">
            <v>-</v>
          </cell>
          <cell r="BB29" t="str">
            <v>-</v>
          </cell>
          <cell r="BC29" t="str">
            <v>-</v>
          </cell>
          <cell r="BD29" t="str">
            <v>-</v>
          </cell>
          <cell r="BE29" t="str">
            <v>-</v>
          </cell>
          <cell r="BF29" t="str">
            <v>-</v>
          </cell>
          <cell r="BG29" t="str">
            <v>-</v>
          </cell>
          <cell r="BH29" t="str">
            <v>-</v>
          </cell>
          <cell r="BI29" t="str">
            <v>-</v>
          </cell>
          <cell r="BJ29" t="str">
            <v>-</v>
          </cell>
          <cell r="BK29" t="str">
            <v>-</v>
          </cell>
          <cell r="BL29" t="str">
            <v>-</v>
          </cell>
          <cell r="BM29" t="str">
            <v>-</v>
          </cell>
          <cell r="BN29" t="str">
            <v>-</v>
          </cell>
          <cell r="BO29">
            <v>62.4</v>
          </cell>
          <cell r="BP29">
            <v>25.6</v>
          </cell>
          <cell r="BQ29">
            <v>1.75</v>
          </cell>
          <cell r="BR29">
            <v>2.2200000000000002</v>
          </cell>
          <cell r="BS29">
            <v>0.5</v>
          </cell>
          <cell r="BT29">
            <v>0.17</v>
          </cell>
          <cell r="BU29">
            <v>2.62</v>
          </cell>
          <cell r="BV29">
            <v>1.22</v>
          </cell>
          <cell r="BW29">
            <v>0.02</v>
          </cell>
          <cell r="BX29">
            <v>2.15</v>
          </cell>
          <cell r="BY29">
            <v>0.11</v>
          </cell>
          <cell r="BZ29">
            <v>0.16</v>
          </cell>
          <cell r="CA29">
            <v>0.24</v>
          </cell>
          <cell r="CB29">
            <v>0.04</v>
          </cell>
          <cell r="CC29" t="str">
            <v>&lt;0.02</v>
          </cell>
          <cell r="CD29" t="str">
            <v>BV Minerals (Amdel)</v>
          </cell>
          <cell r="CE29" t="str">
            <v>L106968</v>
          </cell>
          <cell r="CF29" t="str">
            <v>-</v>
          </cell>
          <cell r="CG29" t="str">
            <v>-</v>
          </cell>
          <cell r="CH29" t="str">
            <v>-</v>
          </cell>
          <cell r="CI29" t="str">
            <v>-</v>
          </cell>
          <cell r="CJ29" t="str">
            <v>-</v>
          </cell>
        </row>
        <row r="30">
          <cell r="B30" t="str">
            <v>85015104CCC17</v>
          </cell>
          <cell r="C30">
            <v>17</v>
          </cell>
          <cell r="D30" t="str">
            <v>078-084</v>
          </cell>
          <cell r="E30" t="str">
            <v>UCT</v>
          </cell>
          <cell r="F30">
            <v>1854193</v>
          </cell>
          <cell r="G30">
            <v>150.44</v>
          </cell>
          <cell r="H30">
            <v>154.97999999999999</v>
          </cell>
          <cell r="I30">
            <v>4.54</v>
          </cell>
          <cell r="J30">
            <v>4.54</v>
          </cell>
          <cell r="K30" t="str">
            <v>TE</v>
          </cell>
          <cell r="L30" t="str">
            <v>S1.45F1.50</v>
          </cell>
          <cell r="M30">
            <v>3.3</v>
          </cell>
          <cell r="N30">
            <v>1.1000000000000001</v>
          </cell>
          <cell r="O30">
            <v>22.4</v>
          </cell>
          <cell r="P30">
            <v>16.2</v>
          </cell>
          <cell r="Q30">
            <v>60.3</v>
          </cell>
          <cell r="R30">
            <v>27.17</v>
          </cell>
          <cell r="S30">
            <v>35.520000000000003</v>
          </cell>
          <cell r="T30">
            <v>0.11799999999999999</v>
          </cell>
          <cell r="U30">
            <v>0.11799999999999999</v>
          </cell>
          <cell r="V30">
            <v>83</v>
          </cell>
          <cell r="W30" t="str">
            <v>-</v>
          </cell>
          <cell r="X30">
            <v>66.599999999999994</v>
          </cell>
          <cell r="Y30">
            <v>3.59</v>
          </cell>
          <cell r="Z30">
            <v>1.45</v>
          </cell>
          <cell r="AA30">
            <v>2.16</v>
          </cell>
          <cell r="AB30">
            <v>2.7</v>
          </cell>
          <cell r="AC30" t="str">
            <v>-</v>
          </cell>
          <cell r="AD30" t="str">
            <v>-</v>
          </cell>
          <cell r="AE30" t="str">
            <v>-</v>
          </cell>
          <cell r="AF30">
            <v>1480</v>
          </cell>
          <cell r="AG30">
            <v>1510</v>
          </cell>
          <cell r="AH30">
            <v>1530</v>
          </cell>
          <cell r="AI30" t="str">
            <v>+1560</v>
          </cell>
          <cell r="AJ30">
            <v>1500</v>
          </cell>
          <cell r="AK30">
            <v>1540</v>
          </cell>
          <cell r="AL30" t="str">
            <v>+1560</v>
          </cell>
          <cell r="AM30" t="str">
            <v>+1560</v>
          </cell>
          <cell r="AN30">
            <v>2.7</v>
          </cell>
          <cell r="AO30">
            <v>11.1</v>
          </cell>
          <cell r="AP30">
            <v>0.28999999999999998</v>
          </cell>
          <cell r="AQ30">
            <v>12</v>
          </cell>
          <cell r="AR30">
            <v>0.46</v>
          </cell>
          <cell r="AS30">
            <v>5</v>
          </cell>
          <cell r="AT30">
            <v>1.2</v>
          </cell>
          <cell r="AU30">
            <v>640</v>
          </cell>
          <cell r="AV30" t="str">
            <v>BV Minerals (Amdel)</v>
          </cell>
          <cell r="AW30" t="str">
            <v>L106922</v>
          </cell>
          <cell r="AX30">
            <v>6.5</v>
          </cell>
          <cell r="AY30" t="str">
            <v>-</v>
          </cell>
          <cell r="AZ30" t="str">
            <v>-</v>
          </cell>
          <cell r="BA30" t="str">
            <v>-</v>
          </cell>
          <cell r="BB30" t="str">
            <v>-</v>
          </cell>
          <cell r="BC30" t="str">
            <v>-</v>
          </cell>
          <cell r="BD30" t="str">
            <v>-</v>
          </cell>
          <cell r="BE30" t="str">
            <v>-</v>
          </cell>
          <cell r="BF30" t="str">
            <v>-</v>
          </cell>
          <cell r="BG30" t="str">
            <v>-</v>
          </cell>
          <cell r="BH30" t="str">
            <v>-</v>
          </cell>
          <cell r="BI30" t="str">
            <v>-</v>
          </cell>
          <cell r="BJ30" t="str">
            <v>-</v>
          </cell>
          <cell r="BK30" t="str">
            <v>-</v>
          </cell>
          <cell r="BL30" t="str">
            <v>-</v>
          </cell>
          <cell r="BM30" t="str">
            <v>-</v>
          </cell>
          <cell r="BN30" t="str">
            <v>-</v>
          </cell>
          <cell r="BO30">
            <v>61.9</v>
          </cell>
          <cell r="BP30">
            <v>24.5</v>
          </cell>
          <cell r="BQ30">
            <v>6</v>
          </cell>
          <cell r="BR30">
            <v>0.88</v>
          </cell>
          <cell r="BS30">
            <v>0.52</v>
          </cell>
          <cell r="BT30">
            <v>0.11</v>
          </cell>
          <cell r="BU30">
            <v>2.09</v>
          </cell>
          <cell r="BV30">
            <v>1.23</v>
          </cell>
          <cell r="BW30">
            <v>0.03</v>
          </cell>
          <cell r="BX30">
            <v>1.2</v>
          </cell>
          <cell r="BY30">
            <v>0.25</v>
          </cell>
          <cell r="BZ30">
            <v>0.26</v>
          </cell>
          <cell r="CA30">
            <v>0.35</v>
          </cell>
          <cell r="CB30">
            <v>0.03</v>
          </cell>
          <cell r="CC30">
            <v>0.04</v>
          </cell>
          <cell r="CD30" t="str">
            <v>BV Minerals (Amdel)</v>
          </cell>
          <cell r="CE30" t="str">
            <v>L106952</v>
          </cell>
          <cell r="CF30" t="str">
            <v>-</v>
          </cell>
          <cell r="CG30" t="str">
            <v>-</v>
          </cell>
          <cell r="CH30" t="str">
            <v>-</v>
          </cell>
          <cell r="CI30" t="str">
            <v>-</v>
          </cell>
          <cell r="CJ30" t="str">
            <v>-</v>
          </cell>
        </row>
        <row r="31">
          <cell r="B31" t="str">
            <v>85015104CCC18</v>
          </cell>
          <cell r="C31">
            <v>18</v>
          </cell>
          <cell r="D31" t="str">
            <v>085-093</v>
          </cell>
          <cell r="E31" t="str">
            <v>UCB</v>
          </cell>
          <cell r="F31">
            <v>1854194</v>
          </cell>
          <cell r="G31">
            <v>154.97999999999999</v>
          </cell>
          <cell r="H31">
            <v>162.47999999999999</v>
          </cell>
          <cell r="I31">
            <v>7.5</v>
          </cell>
          <cell r="J31">
            <v>7.5</v>
          </cell>
          <cell r="K31" t="str">
            <v>TE</v>
          </cell>
          <cell r="L31" t="str">
            <v>S1.45F1.50</v>
          </cell>
          <cell r="M31">
            <v>8.6</v>
          </cell>
          <cell r="N31">
            <v>0.9</v>
          </cell>
          <cell r="O31">
            <v>21.9</v>
          </cell>
          <cell r="P31">
            <v>15.6</v>
          </cell>
          <cell r="Q31">
            <v>61.6</v>
          </cell>
          <cell r="R31">
            <v>27.31</v>
          </cell>
          <cell r="S31">
            <v>35.380000000000003</v>
          </cell>
          <cell r="T31">
            <v>1.7999999999999999E-2</v>
          </cell>
          <cell r="U31">
            <v>1.7999999999999999E-2</v>
          </cell>
          <cell r="V31">
            <v>83</v>
          </cell>
          <cell r="W31">
            <v>10.7</v>
          </cell>
          <cell r="X31">
            <v>67.2</v>
          </cell>
          <cell r="Y31">
            <v>3.61</v>
          </cell>
          <cell r="Z31">
            <v>1.37</v>
          </cell>
          <cell r="AA31">
            <v>2.5</v>
          </cell>
          <cell r="AB31">
            <v>2.5</v>
          </cell>
          <cell r="AC31" t="str">
            <v>-</v>
          </cell>
          <cell r="AD31" t="str">
            <v>-</v>
          </cell>
          <cell r="AE31" t="str">
            <v>-</v>
          </cell>
          <cell r="AF31" t="str">
            <v>+1560</v>
          </cell>
          <cell r="AG31" t="str">
            <v>+1560</v>
          </cell>
          <cell r="AH31" t="str">
            <v>+1560</v>
          </cell>
          <cell r="AI31" t="str">
            <v>+1560</v>
          </cell>
          <cell r="AJ31" t="str">
            <v>+1560</v>
          </cell>
          <cell r="AK31" t="str">
            <v>+1560</v>
          </cell>
          <cell r="AL31" t="str">
            <v>+1560</v>
          </cell>
          <cell r="AM31" t="str">
            <v>+1560</v>
          </cell>
          <cell r="AN31">
            <v>4</v>
          </cell>
          <cell r="AO31">
            <v>15.8</v>
          </cell>
          <cell r="AP31">
            <v>0.23</v>
          </cell>
          <cell r="AQ31">
            <v>12</v>
          </cell>
          <cell r="AR31">
            <v>0.26</v>
          </cell>
          <cell r="AS31">
            <v>3</v>
          </cell>
          <cell r="AT31">
            <v>0.7</v>
          </cell>
          <cell r="AU31">
            <v>560</v>
          </cell>
          <cell r="AV31" t="str">
            <v>BV Minerals (Amdel)</v>
          </cell>
          <cell r="AW31" t="str">
            <v>L106922</v>
          </cell>
          <cell r="AX31">
            <v>5</v>
          </cell>
          <cell r="AY31" t="str">
            <v>-</v>
          </cell>
          <cell r="AZ31" t="str">
            <v>-</v>
          </cell>
          <cell r="BA31" t="str">
            <v>-</v>
          </cell>
          <cell r="BB31" t="str">
            <v>-</v>
          </cell>
          <cell r="BC31" t="str">
            <v>-</v>
          </cell>
          <cell r="BD31" t="str">
            <v>-</v>
          </cell>
          <cell r="BE31" t="str">
            <v>-</v>
          </cell>
          <cell r="BF31" t="str">
            <v>-</v>
          </cell>
          <cell r="BG31" t="str">
            <v>-</v>
          </cell>
          <cell r="BH31" t="str">
            <v>-</v>
          </cell>
          <cell r="BI31" t="str">
            <v>-</v>
          </cell>
          <cell r="BJ31" t="str">
            <v>-</v>
          </cell>
          <cell r="BK31" t="str">
            <v>-</v>
          </cell>
          <cell r="BL31" t="str">
            <v>-</v>
          </cell>
          <cell r="BM31" t="str">
            <v>-</v>
          </cell>
          <cell r="BN31" t="str">
            <v>-</v>
          </cell>
          <cell r="BO31">
            <v>63.8</v>
          </cell>
          <cell r="BP31">
            <v>25.6</v>
          </cell>
          <cell r="BQ31">
            <v>5.3</v>
          </cell>
          <cell r="BR31">
            <v>0.33</v>
          </cell>
          <cell r="BS31">
            <v>0.47</v>
          </cell>
          <cell r="BT31">
            <v>0.16</v>
          </cell>
          <cell r="BU31">
            <v>1.75</v>
          </cell>
          <cell r="BV31">
            <v>1.25</v>
          </cell>
          <cell r="BW31" t="str">
            <v>&lt;0.02</v>
          </cell>
          <cell r="BX31">
            <v>0.19</v>
          </cell>
          <cell r="BY31">
            <v>0.2</v>
          </cell>
          <cell r="BZ31">
            <v>0.08</v>
          </cell>
          <cell r="CA31">
            <v>7.0000000000000007E-2</v>
          </cell>
          <cell r="CB31">
            <v>0.03</v>
          </cell>
          <cell r="CC31">
            <v>0.03</v>
          </cell>
          <cell r="CD31" t="str">
            <v>BV Minerals (Amdel)</v>
          </cell>
          <cell r="CE31" t="str">
            <v>L106952</v>
          </cell>
          <cell r="CF31" t="str">
            <v>-</v>
          </cell>
          <cell r="CG31" t="str">
            <v>-</v>
          </cell>
          <cell r="CH31" t="str">
            <v>-</v>
          </cell>
          <cell r="CI31" t="str">
            <v>-</v>
          </cell>
          <cell r="CJ31" t="str">
            <v>-</v>
          </cell>
        </row>
        <row r="32">
          <cell r="B32" t="str">
            <v>85015104CCC19</v>
          </cell>
          <cell r="C32">
            <v>19</v>
          </cell>
          <cell r="D32" t="str">
            <v>094-102</v>
          </cell>
          <cell r="E32" t="str">
            <v>UCB</v>
          </cell>
          <cell r="F32">
            <v>1854195</v>
          </cell>
          <cell r="G32">
            <v>162.47999999999999</v>
          </cell>
          <cell r="H32">
            <v>170.02</v>
          </cell>
          <cell r="I32">
            <v>7.45</v>
          </cell>
          <cell r="J32">
            <v>7.54</v>
          </cell>
          <cell r="K32" t="str">
            <v>TE</v>
          </cell>
          <cell r="L32" t="str">
            <v>S1.45F1.50</v>
          </cell>
          <cell r="M32">
            <v>9.6</v>
          </cell>
          <cell r="N32">
            <v>1</v>
          </cell>
          <cell r="O32">
            <v>22.9</v>
          </cell>
          <cell r="P32">
            <v>15.8</v>
          </cell>
          <cell r="Q32">
            <v>60.3</v>
          </cell>
          <cell r="R32">
            <v>26.93</v>
          </cell>
          <cell r="S32">
            <v>35.39</v>
          </cell>
          <cell r="T32">
            <v>0.11899999999999999</v>
          </cell>
          <cell r="U32">
            <v>0.121</v>
          </cell>
          <cell r="V32">
            <v>78</v>
          </cell>
          <cell r="W32">
            <v>15.3</v>
          </cell>
          <cell r="X32">
            <v>66.099999999999994</v>
          </cell>
          <cell r="Y32">
            <v>3.53</v>
          </cell>
          <cell r="Z32">
            <v>1.35</v>
          </cell>
          <cell r="AA32">
            <v>1.4</v>
          </cell>
          <cell r="AB32">
            <v>3.7</v>
          </cell>
          <cell r="AC32" t="str">
            <v>-</v>
          </cell>
          <cell r="AD32" t="str">
            <v>-</v>
          </cell>
          <cell r="AE32" t="str">
            <v>-</v>
          </cell>
          <cell r="AF32" t="str">
            <v>+1560</v>
          </cell>
          <cell r="AG32" t="str">
            <v>+1560</v>
          </cell>
          <cell r="AH32" t="str">
            <v>+1560</v>
          </cell>
          <cell r="AI32" t="str">
            <v>+1560</v>
          </cell>
          <cell r="AJ32" t="str">
            <v>+1560</v>
          </cell>
          <cell r="AK32" t="str">
            <v>+1560</v>
          </cell>
          <cell r="AL32" t="str">
            <v>+1560</v>
          </cell>
          <cell r="AM32" t="str">
            <v>+1560</v>
          </cell>
          <cell r="AN32">
            <v>1.9</v>
          </cell>
          <cell r="AO32">
            <v>16</v>
          </cell>
          <cell r="AP32">
            <v>0.28000000000000003</v>
          </cell>
          <cell r="AQ32">
            <v>14</v>
          </cell>
          <cell r="AR32">
            <v>0.17</v>
          </cell>
          <cell r="AS32">
            <v>3</v>
          </cell>
          <cell r="AT32">
            <v>0.6</v>
          </cell>
          <cell r="AU32">
            <v>810</v>
          </cell>
          <cell r="AV32" t="str">
            <v>BV Minerals (Amdel)</v>
          </cell>
          <cell r="AW32" t="str">
            <v>L106922</v>
          </cell>
          <cell r="AX32">
            <v>3</v>
          </cell>
          <cell r="AY32" t="str">
            <v>-</v>
          </cell>
          <cell r="AZ32" t="str">
            <v>-</v>
          </cell>
          <cell r="BA32" t="str">
            <v>-</v>
          </cell>
          <cell r="BB32" t="str">
            <v>-</v>
          </cell>
          <cell r="BC32" t="str">
            <v>-</v>
          </cell>
          <cell r="BD32" t="str">
            <v>-</v>
          </cell>
          <cell r="BE32" t="str">
            <v>-</v>
          </cell>
          <cell r="BF32" t="str">
            <v>-</v>
          </cell>
          <cell r="BG32" t="str">
            <v>-</v>
          </cell>
          <cell r="BH32" t="str">
            <v>-</v>
          </cell>
          <cell r="BI32" t="str">
            <v>-</v>
          </cell>
          <cell r="BJ32" t="str">
            <v>-</v>
          </cell>
          <cell r="BK32" t="str">
            <v>-</v>
          </cell>
          <cell r="BL32" t="str">
            <v>-</v>
          </cell>
          <cell r="BM32" t="str">
            <v>-</v>
          </cell>
          <cell r="BN32" t="str">
            <v>-</v>
          </cell>
          <cell r="BO32">
            <v>62</v>
          </cell>
          <cell r="BP32">
            <v>26.7</v>
          </cell>
          <cell r="BQ32">
            <v>2.27</v>
          </cell>
          <cell r="BR32">
            <v>1.6</v>
          </cell>
          <cell r="BS32">
            <v>0.7</v>
          </cell>
          <cell r="BT32">
            <v>0.2</v>
          </cell>
          <cell r="BU32">
            <v>1.43</v>
          </cell>
          <cell r="BV32">
            <v>1.37</v>
          </cell>
          <cell r="BW32" t="str">
            <v>&lt;0.02</v>
          </cell>
          <cell r="BX32">
            <v>1.2</v>
          </cell>
          <cell r="BY32">
            <v>0.88</v>
          </cell>
          <cell r="BZ32">
            <v>0.32</v>
          </cell>
          <cell r="CA32">
            <v>0.32</v>
          </cell>
          <cell r="CB32">
            <v>0.03</v>
          </cell>
          <cell r="CC32">
            <v>0.03</v>
          </cell>
          <cell r="CD32" t="str">
            <v>BV Minerals (Amdel)</v>
          </cell>
          <cell r="CE32" t="str">
            <v>L106968</v>
          </cell>
          <cell r="CF32" t="str">
            <v>-</v>
          </cell>
          <cell r="CG32" t="str">
            <v>-</v>
          </cell>
          <cell r="CH32" t="str">
            <v>-</v>
          </cell>
          <cell r="CI32" t="str">
            <v>-</v>
          </cell>
          <cell r="CJ32" t="str">
            <v>-</v>
          </cell>
        </row>
        <row r="33">
          <cell r="B33" t="str">
            <v>85015104CCC20</v>
          </cell>
          <cell r="C33">
            <v>20</v>
          </cell>
          <cell r="D33" t="str">
            <v>106-109</v>
          </cell>
          <cell r="E33" t="str">
            <v>MCM</v>
          </cell>
          <cell r="F33">
            <v>1854196</v>
          </cell>
          <cell r="G33">
            <v>171.73</v>
          </cell>
          <cell r="H33">
            <v>174.14</v>
          </cell>
          <cell r="I33">
            <v>2.4099999999999966</v>
          </cell>
          <cell r="J33">
            <v>2.4099999999999966</v>
          </cell>
          <cell r="K33" t="str">
            <v>TE</v>
          </cell>
          <cell r="L33" t="str">
            <v>S1.45F1.50</v>
          </cell>
          <cell r="M33">
            <v>4.3</v>
          </cell>
          <cell r="N33">
            <v>1</v>
          </cell>
          <cell r="O33">
            <v>22</v>
          </cell>
          <cell r="P33">
            <v>16.3</v>
          </cell>
          <cell r="Q33">
            <v>60.7</v>
          </cell>
          <cell r="R33">
            <v>27.29</v>
          </cell>
          <cell r="S33">
            <v>35.44</v>
          </cell>
          <cell r="T33">
            <v>0.34799999999999998</v>
          </cell>
          <cell r="U33">
            <v>0.34699999999999998</v>
          </cell>
          <cell r="V33">
            <v>75</v>
          </cell>
          <cell r="W33" t="str">
            <v>-</v>
          </cell>
          <cell r="X33">
            <v>67.099999999999994</v>
          </cell>
          <cell r="Y33">
            <v>3.59</v>
          </cell>
          <cell r="Z33">
            <v>1.41</v>
          </cell>
          <cell r="AA33">
            <v>1.04</v>
          </cell>
          <cell r="AB33">
            <v>3.9</v>
          </cell>
          <cell r="AC33" t="str">
            <v>-</v>
          </cell>
          <cell r="AD33" t="str">
            <v>-</v>
          </cell>
          <cell r="AE33" t="str">
            <v>-</v>
          </cell>
          <cell r="AF33">
            <v>1420</v>
          </cell>
          <cell r="AG33">
            <v>1450</v>
          </cell>
          <cell r="AH33">
            <v>1520</v>
          </cell>
          <cell r="AI33" t="str">
            <v>+1560</v>
          </cell>
          <cell r="AJ33">
            <v>1430</v>
          </cell>
          <cell r="AK33">
            <v>1470</v>
          </cell>
          <cell r="AL33">
            <v>1530</v>
          </cell>
          <cell r="AM33" t="str">
            <v>+1560</v>
          </cell>
          <cell r="AN33">
            <v>2.6</v>
          </cell>
          <cell r="AO33">
            <v>12</v>
          </cell>
          <cell r="AP33">
            <v>0.46</v>
          </cell>
          <cell r="AQ33">
            <v>19</v>
          </cell>
          <cell r="AR33">
            <v>0.17</v>
          </cell>
          <cell r="AS33">
            <v>5</v>
          </cell>
          <cell r="AT33">
            <v>1.1000000000000001</v>
          </cell>
          <cell r="AU33">
            <v>1100</v>
          </cell>
          <cell r="AV33" t="str">
            <v>BV Minerals (Amdel)</v>
          </cell>
          <cell r="AW33" t="str">
            <v>L106922</v>
          </cell>
          <cell r="AX33">
            <v>4</v>
          </cell>
          <cell r="AY33" t="str">
            <v>-</v>
          </cell>
          <cell r="AZ33" t="str">
            <v>-</v>
          </cell>
          <cell r="BA33" t="str">
            <v>-</v>
          </cell>
          <cell r="BB33" t="str">
            <v>-</v>
          </cell>
          <cell r="BC33" t="str">
            <v>-</v>
          </cell>
          <cell r="BD33" t="str">
            <v>-</v>
          </cell>
          <cell r="BE33" t="str">
            <v>-</v>
          </cell>
          <cell r="BF33" t="str">
            <v>-</v>
          </cell>
          <cell r="BG33" t="str">
            <v>-</v>
          </cell>
          <cell r="BH33" t="str">
            <v>-</v>
          </cell>
          <cell r="BI33" t="str">
            <v>-</v>
          </cell>
          <cell r="BJ33" t="str">
            <v>-</v>
          </cell>
          <cell r="BK33" t="str">
            <v>-</v>
          </cell>
          <cell r="BL33" t="str">
            <v>-</v>
          </cell>
          <cell r="BM33" t="str">
            <v>-</v>
          </cell>
          <cell r="BN33" t="str">
            <v>-</v>
          </cell>
          <cell r="BO33">
            <v>57.5</v>
          </cell>
          <cell r="BP33">
            <v>26.8</v>
          </cell>
          <cell r="BQ33">
            <v>2.41</v>
          </cell>
          <cell r="BR33">
            <v>4.21</v>
          </cell>
          <cell r="BS33">
            <v>0.41</v>
          </cell>
          <cell r="BT33">
            <v>0.13</v>
          </cell>
          <cell r="BU33">
            <v>1.59</v>
          </cell>
          <cell r="BV33">
            <v>1.7</v>
          </cell>
          <cell r="BW33" t="str">
            <v>&lt;0.02</v>
          </cell>
          <cell r="BX33">
            <v>3.58</v>
          </cell>
          <cell r="BY33">
            <v>0.34</v>
          </cell>
          <cell r="BZ33">
            <v>0.27</v>
          </cell>
          <cell r="CA33">
            <v>0.21</v>
          </cell>
          <cell r="CB33">
            <v>0.06</v>
          </cell>
          <cell r="CC33">
            <v>7.0000000000000007E-2</v>
          </cell>
          <cell r="CD33" t="str">
            <v>BV Minerals (Amdel)</v>
          </cell>
          <cell r="CE33" t="str">
            <v>L106952</v>
          </cell>
          <cell r="CF33" t="str">
            <v>-</v>
          </cell>
          <cell r="CG33" t="str">
            <v>-</v>
          </cell>
          <cell r="CH33" t="str">
            <v>-</v>
          </cell>
          <cell r="CI33" t="str">
            <v>-</v>
          </cell>
          <cell r="CJ33" t="str">
            <v>-</v>
          </cell>
        </row>
        <row r="34">
          <cell r="B34" t="str">
            <v>85015104CCC21</v>
          </cell>
          <cell r="C34">
            <v>21</v>
          </cell>
          <cell r="D34" t="str">
            <v>112-122</v>
          </cell>
          <cell r="E34" t="str">
            <v>LCUT_LCUB</v>
          </cell>
          <cell r="F34">
            <v>1854197</v>
          </cell>
          <cell r="G34">
            <v>175.13</v>
          </cell>
          <cell r="H34">
            <v>180.19</v>
          </cell>
          <cell r="I34">
            <v>5.01</v>
          </cell>
          <cell r="J34">
            <v>5.0600000000000023</v>
          </cell>
          <cell r="K34" t="str">
            <v>TE</v>
          </cell>
          <cell r="L34" t="str">
            <v>S1.45F1.50</v>
          </cell>
          <cell r="M34">
            <v>9.1</v>
          </cell>
          <cell r="N34">
            <v>1.1000000000000001</v>
          </cell>
          <cell r="O34">
            <v>22.6</v>
          </cell>
          <cell r="P34">
            <v>16.3</v>
          </cell>
          <cell r="Q34">
            <v>60</v>
          </cell>
          <cell r="R34">
            <v>27.32</v>
          </cell>
          <cell r="S34">
            <v>35.81</v>
          </cell>
          <cell r="T34">
            <v>0.17100000000000001</v>
          </cell>
          <cell r="U34">
            <v>0.17699999999999999</v>
          </cell>
          <cell r="V34">
            <v>77</v>
          </cell>
          <cell r="W34">
            <v>11.6</v>
          </cell>
          <cell r="X34">
            <v>67.3</v>
          </cell>
          <cell r="Y34">
            <v>3.5900000000000003</v>
          </cell>
          <cell r="Z34">
            <v>1.54</v>
          </cell>
          <cell r="AA34">
            <v>0.79</v>
          </cell>
          <cell r="AB34">
            <v>3.1</v>
          </cell>
          <cell r="AC34" t="str">
            <v>-</v>
          </cell>
          <cell r="AD34" t="str">
            <v>-</v>
          </cell>
          <cell r="AE34" t="str">
            <v>-</v>
          </cell>
          <cell r="AF34">
            <v>1400</v>
          </cell>
          <cell r="AG34">
            <v>1450</v>
          </cell>
          <cell r="AH34">
            <v>1480</v>
          </cell>
          <cell r="AI34">
            <v>1500</v>
          </cell>
          <cell r="AJ34">
            <v>1460</v>
          </cell>
          <cell r="AK34">
            <v>1480</v>
          </cell>
          <cell r="AL34">
            <v>1520</v>
          </cell>
          <cell r="AM34">
            <v>1540</v>
          </cell>
          <cell r="AN34">
            <v>1.6</v>
          </cell>
          <cell r="AO34">
            <v>12.2</v>
          </cell>
          <cell r="AP34">
            <v>0.23</v>
          </cell>
          <cell r="AQ34">
            <v>14</v>
          </cell>
          <cell r="AR34">
            <v>0.1</v>
          </cell>
          <cell r="AS34">
            <v>3</v>
          </cell>
          <cell r="AT34">
            <v>0.8</v>
          </cell>
          <cell r="AU34">
            <v>560</v>
          </cell>
          <cell r="AV34" t="str">
            <v>BV Minerals (Amdel)</v>
          </cell>
          <cell r="AW34" t="str">
            <v>L107196</v>
          </cell>
          <cell r="AX34">
            <v>3.5</v>
          </cell>
          <cell r="AY34" t="str">
            <v>-</v>
          </cell>
          <cell r="AZ34" t="str">
            <v>-</v>
          </cell>
          <cell r="BA34" t="str">
            <v>-</v>
          </cell>
          <cell r="BB34" t="str">
            <v>-</v>
          </cell>
          <cell r="BC34" t="str">
            <v>-</v>
          </cell>
          <cell r="BD34" t="str">
            <v>-</v>
          </cell>
          <cell r="BE34" t="str">
            <v>-</v>
          </cell>
          <cell r="BF34" t="str">
            <v>-</v>
          </cell>
          <cell r="BG34" t="str">
            <v>-</v>
          </cell>
          <cell r="BH34" t="str">
            <v>-</v>
          </cell>
          <cell r="BI34" t="str">
            <v>-</v>
          </cell>
          <cell r="BJ34" t="str">
            <v>-</v>
          </cell>
          <cell r="BK34" t="str">
            <v>-</v>
          </cell>
          <cell r="BL34" t="str">
            <v>-</v>
          </cell>
          <cell r="BM34" t="str">
            <v>-</v>
          </cell>
          <cell r="BN34" t="str">
            <v>-</v>
          </cell>
          <cell r="BO34">
            <v>60.3</v>
          </cell>
          <cell r="BP34">
            <v>24.9</v>
          </cell>
          <cell r="BQ34">
            <v>1.83</v>
          </cell>
          <cell r="BR34">
            <v>4.05</v>
          </cell>
          <cell r="BS34">
            <v>1.0900000000000001</v>
          </cell>
          <cell r="BT34">
            <v>0.21</v>
          </cell>
          <cell r="BU34">
            <v>1.41</v>
          </cell>
          <cell r="BV34">
            <v>1.5</v>
          </cell>
          <cell r="BW34">
            <v>0.02</v>
          </cell>
          <cell r="BX34">
            <v>1.77</v>
          </cell>
          <cell r="BY34">
            <v>1.08</v>
          </cell>
          <cell r="BZ34">
            <v>0.21</v>
          </cell>
          <cell r="CA34">
            <v>0.14000000000000001</v>
          </cell>
          <cell r="CB34">
            <v>0.05</v>
          </cell>
          <cell r="CC34">
            <v>0.03</v>
          </cell>
          <cell r="CD34" t="str">
            <v>BV Minerals (Amdel)</v>
          </cell>
          <cell r="CE34" t="str">
            <v>L107196</v>
          </cell>
          <cell r="CF34" t="str">
            <v>-</v>
          </cell>
          <cell r="CG34" t="str">
            <v>-</v>
          </cell>
          <cell r="CH34" t="str">
            <v>-</v>
          </cell>
          <cell r="CI34" t="str">
            <v>-</v>
          </cell>
          <cell r="CJ34" t="str">
            <v>-</v>
          </cell>
        </row>
        <row r="35">
          <cell r="B35" t="str">
            <v>85015104CCC22</v>
          </cell>
          <cell r="C35">
            <v>22</v>
          </cell>
          <cell r="D35" t="str">
            <v>123-127</v>
          </cell>
          <cell r="E35" t="str">
            <v>LC45_LC46</v>
          </cell>
          <cell r="F35">
            <v>1854198</v>
          </cell>
          <cell r="G35">
            <v>180.19</v>
          </cell>
          <cell r="H35">
            <v>182.71</v>
          </cell>
          <cell r="I35">
            <v>2.52</v>
          </cell>
          <cell r="J35">
            <v>5.52</v>
          </cell>
          <cell r="K35" t="str">
            <v>TE</v>
          </cell>
          <cell r="L35" t="str">
            <v>S1.45F1.50</v>
          </cell>
          <cell r="M35">
            <v>23.2</v>
          </cell>
          <cell r="N35">
            <v>1.2</v>
          </cell>
          <cell r="O35">
            <v>22.6</v>
          </cell>
          <cell r="P35">
            <v>15.4</v>
          </cell>
          <cell r="Q35">
            <v>60.8</v>
          </cell>
          <cell r="R35">
            <v>27.29</v>
          </cell>
          <cell r="S35">
            <v>35.81</v>
          </cell>
          <cell r="T35">
            <v>6.0000000000000001E-3</v>
          </cell>
          <cell r="U35">
            <v>0.01</v>
          </cell>
          <cell r="V35">
            <v>75</v>
          </cell>
          <cell r="W35">
            <v>12.8</v>
          </cell>
          <cell r="X35">
            <v>67.099999999999994</v>
          </cell>
          <cell r="Y35">
            <v>3.54</v>
          </cell>
          <cell r="Z35">
            <v>1.61</v>
          </cell>
          <cell r="AA35">
            <v>0.65</v>
          </cell>
          <cell r="AB35">
            <v>3.3</v>
          </cell>
          <cell r="AC35" t="str">
            <v>-</v>
          </cell>
          <cell r="AD35" t="str">
            <v>-</v>
          </cell>
          <cell r="AE35" t="str">
            <v>-</v>
          </cell>
          <cell r="AF35">
            <v>1500</v>
          </cell>
          <cell r="AG35" t="str">
            <v>+1560</v>
          </cell>
          <cell r="AH35" t="str">
            <v>+1560</v>
          </cell>
          <cell r="AI35" t="str">
            <v>+1560</v>
          </cell>
          <cell r="AJ35" t="str">
            <v>+1560</v>
          </cell>
          <cell r="AK35" t="str">
            <v>+1560</v>
          </cell>
          <cell r="AL35" t="str">
            <v>+1560</v>
          </cell>
          <cell r="AM35" t="str">
            <v>+1560</v>
          </cell>
          <cell r="AN35">
            <v>0.5</v>
          </cell>
          <cell r="AO35">
            <v>13.3</v>
          </cell>
          <cell r="AP35">
            <v>0.15</v>
          </cell>
          <cell r="AQ35">
            <v>7.5</v>
          </cell>
          <cell r="AR35">
            <v>0.04</v>
          </cell>
          <cell r="AS35" t="str">
            <v>&lt;2</v>
          </cell>
          <cell r="AT35">
            <v>0.5</v>
          </cell>
          <cell r="AU35">
            <v>150</v>
          </cell>
          <cell r="AV35" t="str">
            <v>BV Minerals (Amdel)</v>
          </cell>
          <cell r="AW35" t="str">
            <v>L106922</v>
          </cell>
          <cell r="AX35">
            <v>4</v>
          </cell>
          <cell r="AY35" t="str">
            <v>-</v>
          </cell>
          <cell r="AZ35" t="str">
            <v>-</v>
          </cell>
          <cell r="BA35" t="str">
            <v>-</v>
          </cell>
          <cell r="BB35" t="str">
            <v>-</v>
          </cell>
          <cell r="BC35" t="str">
            <v>-</v>
          </cell>
          <cell r="BD35" t="str">
            <v>-</v>
          </cell>
          <cell r="BE35" t="str">
            <v>-</v>
          </cell>
          <cell r="BF35" t="str">
            <v>-</v>
          </cell>
          <cell r="BG35" t="str">
            <v>-</v>
          </cell>
          <cell r="BH35" t="str">
            <v>-</v>
          </cell>
          <cell r="BI35" t="str">
            <v>-</v>
          </cell>
          <cell r="BJ35" t="str">
            <v>-</v>
          </cell>
          <cell r="BK35" t="str">
            <v>-</v>
          </cell>
          <cell r="BL35" t="str">
            <v>-</v>
          </cell>
          <cell r="BM35" t="str">
            <v>-</v>
          </cell>
          <cell r="BN35" t="str">
            <v>-</v>
          </cell>
          <cell r="BO35">
            <v>69.400000000000006</v>
          </cell>
          <cell r="BP35">
            <v>21.8</v>
          </cell>
          <cell r="BQ35">
            <v>0.92</v>
          </cell>
          <cell r="BR35">
            <v>0.56000000000000005</v>
          </cell>
          <cell r="BS35">
            <v>0.48</v>
          </cell>
          <cell r="BT35">
            <v>1.0900000000000001</v>
          </cell>
          <cell r="BU35">
            <v>3.2</v>
          </cell>
          <cell r="BV35">
            <v>0.99</v>
          </cell>
          <cell r="BW35" t="str">
            <v>&lt;0.02</v>
          </cell>
          <cell r="BX35">
            <v>0.1</v>
          </cell>
          <cell r="BY35">
            <v>1.07</v>
          </cell>
          <cell r="BZ35">
            <v>0.05</v>
          </cell>
          <cell r="CA35" t="str">
            <v>&lt;0.02</v>
          </cell>
          <cell r="CB35">
            <v>0.03</v>
          </cell>
          <cell r="CC35" t="str">
            <v>&lt;0.02</v>
          </cell>
          <cell r="CD35" t="str">
            <v>BV Minerals (Amdel)</v>
          </cell>
          <cell r="CE35" t="str">
            <v>L106952</v>
          </cell>
          <cell r="CF35" t="str">
            <v>-</v>
          </cell>
          <cell r="CG35" t="str">
            <v>-</v>
          </cell>
          <cell r="CH35" t="str">
            <v>-</v>
          </cell>
          <cell r="CI35" t="str">
            <v>-</v>
          </cell>
          <cell r="CJ35" t="str">
            <v>-</v>
          </cell>
        </row>
        <row r="36">
          <cell r="B36" t="str">
            <v>85015104CCC23</v>
          </cell>
          <cell r="C36">
            <v>23</v>
          </cell>
          <cell r="D36" t="str">
            <v>002-029</v>
          </cell>
          <cell r="E36" t="str">
            <v>BNU1_BNU2</v>
          </cell>
          <cell r="F36">
            <v>1851896</v>
          </cell>
          <cell r="G36">
            <v>12.66</v>
          </cell>
          <cell r="H36">
            <v>27.38</v>
          </cell>
          <cell r="I36">
            <v>14.719999999999999</v>
          </cell>
          <cell r="J36">
            <v>14.719999999999999</v>
          </cell>
          <cell r="K36" t="str">
            <v>TD</v>
          </cell>
          <cell r="L36" t="str">
            <v>S1.50F1.90</v>
          </cell>
          <cell r="M36">
            <v>28.1</v>
          </cell>
          <cell r="N36">
            <v>1.3</v>
          </cell>
          <cell r="O36">
            <v>41.3</v>
          </cell>
          <cell r="P36">
            <v>16.399999999999999</v>
          </cell>
          <cell r="Q36">
            <v>41</v>
          </cell>
          <cell r="R36">
            <v>19.59</v>
          </cell>
          <cell r="S36">
            <v>34.130000000000003</v>
          </cell>
          <cell r="T36">
            <v>0.14199999999999999</v>
          </cell>
          <cell r="U36">
            <v>0.15</v>
          </cell>
          <cell r="V36">
            <v>70</v>
          </cell>
          <cell r="W36">
            <v>31.8</v>
          </cell>
          <cell r="X36">
            <v>47.4</v>
          </cell>
          <cell r="Y36">
            <v>2.9</v>
          </cell>
          <cell r="Z36">
            <v>1.24</v>
          </cell>
          <cell r="AA36">
            <v>0.94</v>
          </cell>
          <cell r="AB36">
            <v>4.9000000000000004</v>
          </cell>
          <cell r="AC36" t="str">
            <v>-</v>
          </cell>
          <cell r="AD36" t="str">
            <v>-</v>
          </cell>
          <cell r="AE36" t="str">
            <v>-</v>
          </cell>
          <cell r="AF36">
            <v>1470</v>
          </cell>
          <cell r="AG36">
            <v>1540</v>
          </cell>
          <cell r="AH36">
            <v>1550</v>
          </cell>
          <cell r="AI36" t="str">
            <v>+1560</v>
          </cell>
          <cell r="AJ36">
            <v>1540</v>
          </cell>
          <cell r="AK36" t="str">
            <v>+1560</v>
          </cell>
          <cell r="AL36" t="str">
            <v>+1560</v>
          </cell>
          <cell r="AM36" t="str">
            <v>+1560</v>
          </cell>
          <cell r="AN36">
            <v>3.3</v>
          </cell>
          <cell r="AO36">
            <v>16.600000000000001</v>
          </cell>
          <cell r="AP36">
            <v>0.31</v>
          </cell>
          <cell r="AQ36">
            <v>19</v>
          </cell>
          <cell r="AR36">
            <v>0.15</v>
          </cell>
          <cell r="AS36">
            <v>3</v>
          </cell>
          <cell r="AT36">
            <v>0.6</v>
          </cell>
          <cell r="AU36">
            <v>590</v>
          </cell>
          <cell r="AV36" t="str">
            <v>BV Minerals (Amdel)</v>
          </cell>
          <cell r="AW36" t="str">
            <v>L106905</v>
          </cell>
          <cell r="AX36">
            <v>1</v>
          </cell>
          <cell r="AY36" t="str">
            <v>-</v>
          </cell>
          <cell r="AZ36" t="str">
            <v>-</v>
          </cell>
          <cell r="BA36" t="str">
            <v>-</v>
          </cell>
          <cell r="BB36" t="str">
            <v>-</v>
          </cell>
          <cell r="BC36" t="str">
            <v>-</v>
          </cell>
          <cell r="BD36" t="str">
            <v>-</v>
          </cell>
          <cell r="BE36" t="str">
            <v>-</v>
          </cell>
          <cell r="BF36" t="str">
            <v>-</v>
          </cell>
          <cell r="BG36" t="str">
            <v>-</v>
          </cell>
          <cell r="BH36" t="str">
            <v>-</v>
          </cell>
          <cell r="BI36" t="str">
            <v>-</v>
          </cell>
          <cell r="BJ36" t="str">
            <v>-</v>
          </cell>
          <cell r="BK36" t="str">
            <v>-</v>
          </cell>
          <cell r="BL36" t="str">
            <v>-</v>
          </cell>
          <cell r="BM36" t="str">
            <v>-</v>
          </cell>
          <cell r="BN36" t="str">
            <v>-</v>
          </cell>
          <cell r="BO36">
            <v>64.599999999999994</v>
          </cell>
          <cell r="BP36">
            <v>24.2</v>
          </cell>
          <cell r="BQ36">
            <v>3.57</v>
          </cell>
          <cell r="BR36">
            <v>1.48</v>
          </cell>
          <cell r="BS36">
            <v>0.74</v>
          </cell>
          <cell r="BT36">
            <v>0.13</v>
          </cell>
          <cell r="BU36">
            <v>2.42</v>
          </cell>
          <cell r="BV36">
            <v>1.04</v>
          </cell>
          <cell r="BW36">
            <v>0.03</v>
          </cell>
          <cell r="BX36">
            <v>0.82</v>
          </cell>
          <cell r="BY36">
            <v>0.63</v>
          </cell>
          <cell r="BZ36">
            <v>7.0000000000000007E-2</v>
          </cell>
          <cell r="CA36">
            <v>0.06</v>
          </cell>
          <cell r="CB36">
            <v>0.02</v>
          </cell>
          <cell r="CC36" t="str">
            <v>&lt;0.02</v>
          </cell>
          <cell r="CD36" t="str">
            <v>BV Minerals (Amdel)</v>
          </cell>
          <cell r="CE36" t="str">
            <v>L106918</v>
          </cell>
          <cell r="CF36" t="str">
            <v>-</v>
          </cell>
          <cell r="CG36" t="str">
            <v>-</v>
          </cell>
          <cell r="CH36" t="str">
            <v>-</v>
          </cell>
          <cell r="CI36" t="str">
            <v>-</v>
          </cell>
          <cell r="CJ36" t="str">
            <v>-</v>
          </cell>
        </row>
        <row r="37">
          <cell r="B37" t="str">
            <v>85015104CCC24</v>
          </cell>
          <cell r="C37">
            <v>24</v>
          </cell>
          <cell r="D37" t="str">
            <v>032-049</v>
          </cell>
          <cell r="E37" t="str">
            <v>BNL1_BNL2</v>
          </cell>
          <cell r="F37">
            <v>1851897</v>
          </cell>
          <cell r="G37">
            <v>75.59</v>
          </cell>
          <cell r="H37">
            <v>87.8</v>
          </cell>
          <cell r="I37">
            <v>11.629999999999995</v>
          </cell>
          <cell r="J37">
            <v>12.209999999999994</v>
          </cell>
          <cell r="K37" t="str">
            <v>TD</v>
          </cell>
          <cell r="L37" t="str">
            <v>S1.50F1.90</v>
          </cell>
          <cell r="M37">
            <v>30</v>
          </cell>
          <cell r="N37">
            <v>1.1000000000000001</v>
          </cell>
          <cell r="O37">
            <v>43.8</v>
          </cell>
          <cell r="P37">
            <v>15.5</v>
          </cell>
          <cell r="Q37">
            <v>39.6</v>
          </cell>
          <cell r="R37">
            <v>18.79</v>
          </cell>
          <cell r="S37">
            <v>34.1</v>
          </cell>
          <cell r="T37">
            <v>0.19500000000000001</v>
          </cell>
          <cell r="U37">
            <v>0.19700000000000001</v>
          </cell>
          <cell r="V37">
            <v>69</v>
          </cell>
          <cell r="W37">
            <v>34.9</v>
          </cell>
          <cell r="X37">
            <v>46.3</v>
          </cell>
          <cell r="Y37">
            <v>2.75</v>
          </cell>
          <cell r="Z37">
            <v>1.18</v>
          </cell>
          <cell r="AA37">
            <v>0.49</v>
          </cell>
          <cell r="AB37">
            <v>4.4000000000000004</v>
          </cell>
          <cell r="AC37" t="str">
            <v>-</v>
          </cell>
          <cell r="AD37" t="str">
            <v>-</v>
          </cell>
          <cell r="AE37" t="str">
            <v>-</v>
          </cell>
          <cell r="AF37">
            <v>1400</v>
          </cell>
          <cell r="AG37">
            <v>1490</v>
          </cell>
          <cell r="AH37">
            <v>1510</v>
          </cell>
          <cell r="AI37">
            <v>1540</v>
          </cell>
          <cell r="AJ37">
            <v>1470</v>
          </cell>
          <cell r="AK37">
            <v>1500</v>
          </cell>
          <cell r="AL37">
            <v>1530</v>
          </cell>
          <cell r="AM37" t="str">
            <v>+1560</v>
          </cell>
          <cell r="AN37">
            <v>3.9</v>
          </cell>
          <cell r="AO37">
            <v>21.5</v>
          </cell>
          <cell r="AP37">
            <v>0.32</v>
          </cell>
          <cell r="AQ37">
            <v>21</v>
          </cell>
          <cell r="AR37">
            <v>0.11</v>
          </cell>
          <cell r="AS37">
            <v>3</v>
          </cell>
          <cell r="AT37">
            <v>0.5</v>
          </cell>
          <cell r="AU37">
            <v>590</v>
          </cell>
          <cell r="AV37" t="str">
            <v>BV Minerals (Amdel)</v>
          </cell>
          <cell r="AW37" t="str">
            <v>L106960</v>
          </cell>
          <cell r="AX37">
            <v>1</v>
          </cell>
          <cell r="AY37" t="str">
            <v>-</v>
          </cell>
          <cell r="AZ37" t="str">
            <v>-</v>
          </cell>
          <cell r="BA37" t="str">
            <v>-</v>
          </cell>
          <cell r="BB37" t="str">
            <v>-</v>
          </cell>
          <cell r="BC37" t="str">
            <v>-</v>
          </cell>
          <cell r="BD37" t="str">
            <v>-</v>
          </cell>
          <cell r="BE37" t="str">
            <v>-</v>
          </cell>
          <cell r="BF37" t="str">
            <v>-</v>
          </cell>
          <cell r="BG37" t="str">
            <v>-</v>
          </cell>
          <cell r="BH37" t="str">
            <v>-</v>
          </cell>
          <cell r="BI37" t="str">
            <v>-</v>
          </cell>
          <cell r="BJ37" t="str">
            <v>-</v>
          </cell>
          <cell r="BK37" t="str">
            <v>-</v>
          </cell>
          <cell r="BL37" t="str">
            <v>-</v>
          </cell>
          <cell r="BM37" t="str">
            <v>-</v>
          </cell>
          <cell r="BN37" t="str">
            <v>-</v>
          </cell>
          <cell r="BO37">
            <v>62.6</v>
          </cell>
          <cell r="BP37">
            <v>23.7</v>
          </cell>
          <cell r="BQ37">
            <v>3.87</v>
          </cell>
          <cell r="BR37">
            <v>1.85</v>
          </cell>
          <cell r="BS37">
            <v>0.99</v>
          </cell>
          <cell r="BT37">
            <v>0.11</v>
          </cell>
          <cell r="BU37">
            <v>2.71</v>
          </cell>
          <cell r="BV37">
            <v>0.99</v>
          </cell>
          <cell r="BW37">
            <v>0.04</v>
          </cell>
          <cell r="BX37">
            <v>1.02</v>
          </cell>
          <cell r="BY37">
            <v>0.83</v>
          </cell>
          <cell r="BZ37">
            <v>0.16</v>
          </cell>
          <cell r="CA37">
            <v>7.0000000000000007E-2</v>
          </cell>
          <cell r="CB37">
            <v>0.03</v>
          </cell>
          <cell r="CC37">
            <v>0.03</v>
          </cell>
          <cell r="CD37" t="str">
            <v>BV Minerals (Amdel)</v>
          </cell>
          <cell r="CE37" t="str">
            <v>L106952</v>
          </cell>
          <cell r="CF37" t="str">
            <v>-</v>
          </cell>
          <cell r="CG37" t="str">
            <v>-</v>
          </cell>
          <cell r="CH37" t="str">
            <v>-</v>
          </cell>
          <cell r="CI37" t="str">
            <v>-</v>
          </cell>
          <cell r="CJ37" t="str">
            <v>-</v>
          </cell>
        </row>
        <row r="38">
          <cell r="B38" t="str">
            <v>85015104CCC25</v>
          </cell>
          <cell r="C38">
            <v>25</v>
          </cell>
          <cell r="D38" t="str">
            <v>050-069</v>
          </cell>
          <cell r="E38" t="str">
            <v>BNL2_BNL3</v>
          </cell>
          <cell r="F38">
            <v>1851898</v>
          </cell>
          <cell r="G38">
            <v>87.85</v>
          </cell>
          <cell r="H38">
            <v>99.25</v>
          </cell>
          <cell r="I38">
            <v>11.210000000000008</v>
          </cell>
          <cell r="J38">
            <v>11.400000000000006</v>
          </cell>
          <cell r="K38" t="str">
            <v>TD</v>
          </cell>
          <cell r="L38" t="str">
            <v>S1.50F1.90</v>
          </cell>
          <cell r="M38">
            <v>41.3</v>
          </cell>
          <cell r="N38">
            <v>1.2</v>
          </cell>
          <cell r="O38">
            <v>40.799999999999997</v>
          </cell>
          <cell r="P38">
            <v>15.3</v>
          </cell>
          <cell r="Q38">
            <v>42.7</v>
          </cell>
          <cell r="R38">
            <v>19.899999999999999</v>
          </cell>
          <cell r="S38">
            <v>34.31</v>
          </cell>
          <cell r="T38">
            <v>6.3E-2</v>
          </cell>
          <cell r="U38">
            <v>6.3E-2</v>
          </cell>
          <cell r="V38">
            <v>69</v>
          </cell>
          <cell r="W38">
            <v>31.4</v>
          </cell>
          <cell r="X38">
            <v>49</v>
          </cell>
          <cell r="Y38">
            <v>2.84</v>
          </cell>
          <cell r="Z38">
            <v>1.08</v>
          </cell>
          <cell r="AA38">
            <v>0.54</v>
          </cell>
          <cell r="AB38">
            <v>4.5</v>
          </cell>
          <cell r="AC38" t="str">
            <v>-</v>
          </cell>
          <cell r="AD38" t="str">
            <v>-</v>
          </cell>
          <cell r="AE38" t="str">
            <v>-</v>
          </cell>
          <cell r="AF38">
            <v>1550</v>
          </cell>
          <cell r="AG38" t="str">
            <v>+1560</v>
          </cell>
          <cell r="AH38" t="str">
            <v>+1560</v>
          </cell>
          <cell r="AI38" t="str">
            <v>+1560</v>
          </cell>
          <cell r="AJ38" t="str">
            <v>+1560</v>
          </cell>
          <cell r="AK38" t="str">
            <v>+1560</v>
          </cell>
          <cell r="AL38" t="str">
            <v>+1560</v>
          </cell>
          <cell r="AM38" t="str">
            <v>+1560</v>
          </cell>
          <cell r="AN38">
            <v>3.5</v>
          </cell>
          <cell r="AO38">
            <v>19.899999999999999</v>
          </cell>
          <cell r="AP38">
            <v>0.39</v>
          </cell>
          <cell r="AQ38">
            <v>19</v>
          </cell>
          <cell r="AR38">
            <v>0.08</v>
          </cell>
          <cell r="AS38">
            <v>4</v>
          </cell>
          <cell r="AT38">
            <v>0.7</v>
          </cell>
          <cell r="AU38">
            <v>600</v>
          </cell>
          <cell r="AV38" t="str">
            <v>BV Minerals (Amdel)</v>
          </cell>
          <cell r="AW38" t="str">
            <v>L106905</v>
          </cell>
          <cell r="AX38">
            <v>1</v>
          </cell>
          <cell r="AY38" t="str">
            <v>-</v>
          </cell>
          <cell r="AZ38" t="str">
            <v>-</v>
          </cell>
          <cell r="BA38" t="str">
            <v>-</v>
          </cell>
          <cell r="BB38" t="str">
            <v>-</v>
          </cell>
          <cell r="BC38" t="str">
            <v>-</v>
          </cell>
          <cell r="BD38" t="str">
            <v>-</v>
          </cell>
          <cell r="BE38" t="str">
            <v>-</v>
          </cell>
          <cell r="BF38" t="str">
            <v>-</v>
          </cell>
          <cell r="BG38" t="str">
            <v>-</v>
          </cell>
          <cell r="BH38" t="str">
            <v>-</v>
          </cell>
          <cell r="BI38" t="str">
            <v>-</v>
          </cell>
          <cell r="BJ38" t="str">
            <v>-</v>
          </cell>
          <cell r="BK38" t="str">
            <v>-</v>
          </cell>
          <cell r="BL38" t="str">
            <v>-</v>
          </cell>
          <cell r="BM38" t="str">
            <v>-</v>
          </cell>
          <cell r="BN38" t="str">
            <v>-</v>
          </cell>
          <cell r="BO38">
            <v>65.3</v>
          </cell>
          <cell r="BP38">
            <v>26.2</v>
          </cell>
          <cell r="BQ38">
            <v>2.4</v>
          </cell>
          <cell r="BR38">
            <v>0.84</v>
          </cell>
          <cell r="BS38">
            <v>0.74</v>
          </cell>
          <cell r="BT38">
            <v>0.09</v>
          </cell>
          <cell r="BU38">
            <v>2.46</v>
          </cell>
          <cell r="BV38">
            <v>1.08</v>
          </cell>
          <cell r="BW38">
            <v>0.02</v>
          </cell>
          <cell r="BX38">
            <v>0.35</v>
          </cell>
          <cell r="BY38">
            <v>0.59</v>
          </cell>
          <cell r="BZ38">
            <v>0.1</v>
          </cell>
          <cell r="CA38">
            <v>0.06</v>
          </cell>
          <cell r="CB38">
            <v>0.02</v>
          </cell>
          <cell r="CC38" t="str">
            <v>&lt;0.02</v>
          </cell>
          <cell r="CD38" t="str">
            <v>BV Minerals (Amdel)</v>
          </cell>
          <cell r="CE38" t="str">
            <v>L106918</v>
          </cell>
          <cell r="CF38" t="str">
            <v>-</v>
          </cell>
          <cell r="CG38" t="str">
            <v>-</v>
          </cell>
          <cell r="CH38" t="str">
            <v>-</v>
          </cell>
          <cell r="CI38" t="str">
            <v>-</v>
          </cell>
          <cell r="CJ38" t="str">
            <v>-</v>
          </cell>
        </row>
        <row r="39">
          <cell r="B39" t="str">
            <v>85015104CCC26</v>
          </cell>
          <cell r="C39">
            <v>26</v>
          </cell>
          <cell r="D39" t="str">
            <v>072-075</v>
          </cell>
          <cell r="E39" t="str">
            <v>BR</v>
          </cell>
          <cell r="F39">
            <v>1851899</v>
          </cell>
          <cell r="G39">
            <v>116.5</v>
          </cell>
          <cell r="H39">
            <v>119.03</v>
          </cell>
          <cell r="I39">
            <v>2.5300000000000011</v>
          </cell>
          <cell r="J39">
            <v>2.5300000000000011</v>
          </cell>
          <cell r="K39" t="str">
            <v>TD</v>
          </cell>
          <cell r="L39" t="str">
            <v>S1.50F1.90</v>
          </cell>
          <cell r="M39">
            <v>40.799999999999997</v>
          </cell>
          <cell r="N39">
            <v>1.2</v>
          </cell>
          <cell r="O39">
            <v>37.299999999999997</v>
          </cell>
          <cell r="P39">
            <v>14.6</v>
          </cell>
          <cell r="Q39">
            <v>46.9</v>
          </cell>
          <cell r="R39">
            <v>21.37</v>
          </cell>
          <cell r="S39">
            <v>34.75</v>
          </cell>
          <cell r="T39">
            <v>0.224</v>
          </cell>
          <cell r="U39">
            <v>0.23599999999999999</v>
          </cell>
          <cell r="V39">
            <v>69</v>
          </cell>
          <cell r="W39">
            <v>26.7</v>
          </cell>
          <cell r="X39">
            <v>52.4</v>
          </cell>
          <cell r="Y39">
            <v>2.94</v>
          </cell>
          <cell r="Z39">
            <v>1.21</v>
          </cell>
          <cell r="AA39">
            <v>0.75</v>
          </cell>
          <cell r="AB39">
            <v>4.2</v>
          </cell>
          <cell r="AC39" t="str">
            <v>-</v>
          </cell>
          <cell r="AD39" t="str">
            <v>-</v>
          </cell>
          <cell r="AE39" t="str">
            <v>-</v>
          </cell>
          <cell r="AF39">
            <v>1490</v>
          </cell>
          <cell r="AG39" t="str">
            <v>+1560</v>
          </cell>
          <cell r="AH39" t="str">
            <v>+1560</v>
          </cell>
          <cell r="AI39" t="str">
            <v>+1560</v>
          </cell>
          <cell r="AJ39" t="str">
            <v>+1560</v>
          </cell>
          <cell r="AK39" t="str">
            <v>+1560</v>
          </cell>
          <cell r="AL39" t="str">
            <v>+1560</v>
          </cell>
          <cell r="AM39" t="str">
            <v>+1560</v>
          </cell>
          <cell r="AN39">
            <v>3.7</v>
          </cell>
          <cell r="AO39">
            <v>8.6</v>
          </cell>
          <cell r="AP39">
            <v>0.33</v>
          </cell>
          <cell r="AQ39">
            <v>17</v>
          </cell>
          <cell r="AR39">
            <v>0.12</v>
          </cell>
          <cell r="AS39">
            <v>3</v>
          </cell>
          <cell r="AT39">
            <v>0.8</v>
          </cell>
          <cell r="AU39">
            <v>880</v>
          </cell>
          <cell r="AV39" t="str">
            <v>BV Minerals (Amdel)</v>
          </cell>
          <cell r="AW39" t="str">
            <v>L106905</v>
          </cell>
          <cell r="AX39">
            <v>1</v>
          </cell>
          <cell r="AY39" t="str">
            <v>-</v>
          </cell>
          <cell r="AZ39" t="str">
            <v>-</v>
          </cell>
          <cell r="BA39" t="str">
            <v>-</v>
          </cell>
          <cell r="BB39" t="str">
            <v>-</v>
          </cell>
          <cell r="BC39" t="str">
            <v>-</v>
          </cell>
          <cell r="BD39" t="str">
            <v>-</v>
          </cell>
          <cell r="BE39" t="str">
            <v>-</v>
          </cell>
          <cell r="BF39" t="str">
            <v>-</v>
          </cell>
          <cell r="BG39" t="str">
            <v>-</v>
          </cell>
          <cell r="BH39" t="str">
            <v>-</v>
          </cell>
          <cell r="BI39" t="str">
            <v>-</v>
          </cell>
          <cell r="BJ39" t="str">
            <v>-</v>
          </cell>
          <cell r="BK39" t="str">
            <v>-</v>
          </cell>
          <cell r="BL39" t="str">
            <v>-</v>
          </cell>
          <cell r="BM39" t="str">
            <v>-</v>
          </cell>
          <cell r="BN39" t="str">
            <v>-</v>
          </cell>
          <cell r="BO39">
            <v>64.7</v>
          </cell>
          <cell r="BP39">
            <v>25.6</v>
          </cell>
          <cell r="BQ39">
            <v>1.44</v>
          </cell>
          <cell r="BR39">
            <v>1.6</v>
          </cell>
          <cell r="BS39">
            <v>0.5</v>
          </cell>
          <cell r="BT39">
            <v>0.08</v>
          </cell>
          <cell r="BU39">
            <v>2.88</v>
          </cell>
          <cell r="BV39">
            <v>1.1200000000000001</v>
          </cell>
          <cell r="BW39" t="str">
            <v>&lt;0.02</v>
          </cell>
          <cell r="BX39">
            <v>1.43</v>
          </cell>
          <cell r="BY39">
            <v>7.0000000000000007E-2</v>
          </cell>
          <cell r="BZ39">
            <v>0.1</v>
          </cell>
          <cell r="CA39">
            <v>0.11</v>
          </cell>
          <cell r="CB39">
            <v>0.02</v>
          </cell>
          <cell r="CC39" t="str">
            <v>&lt;0.02</v>
          </cell>
          <cell r="CD39" t="str">
            <v>BV Minerals (Amdel)</v>
          </cell>
          <cell r="CE39" t="str">
            <v>L106918</v>
          </cell>
          <cell r="CF39" t="str">
            <v>-</v>
          </cell>
          <cell r="CG39" t="str">
            <v>-</v>
          </cell>
          <cell r="CH39" t="str">
            <v>-</v>
          </cell>
          <cell r="CI39" t="str">
            <v>-</v>
          </cell>
          <cell r="CJ39" t="str">
            <v>-</v>
          </cell>
        </row>
        <row r="40">
          <cell r="B40" t="str">
            <v>85015104CCC27</v>
          </cell>
          <cell r="C40">
            <v>27</v>
          </cell>
          <cell r="D40" t="str">
            <v>078-084</v>
          </cell>
          <cell r="E40" t="str">
            <v>UCT</v>
          </cell>
          <cell r="F40">
            <v>1851900</v>
          </cell>
          <cell r="G40">
            <v>150.44</v>
          </cell>
          <cell r="H40">
            <v>154.97999999999999</v>
          </cell>
          <cell r="I40">
            <v>4.539999999999992</v>
          </cell>
          <cell r="J40">
            <v>4.539999999999992</v>
          </cell>
          <cell r="K40" t="str">
            <v>TD</v>
          </cell>
          <cell r="L40" t="str">
            <v>S1.50F1.90</v>
          </cell>
          <cell r="M40">
            <v>38.700000000000003</v>
          </cell>
          <cell r="N40">
            <v>1.2</v>
          </cell>
          <cell r="O40">
            <v>42.4</v>
          </cell>
          <cell r="P40">
            <v>13.2</v>
          </cell>
          <cell r="Q40">
            <v>43.2</v>
          </cell>
          <cell r="R40">
            <v>19.32</v>
          </cell>
          <cell r="S40">
            <v>34.26</v>
          </cell>
          <cell r="T40">
            <v>9.6000000000000002E-2</v>
          </cell>
          <cell r="U40">
            <v>9.5000000000000001E-2</v>
          </cell>
          <cell r="V40">
            <v>68</v>
          </cell>
          <cell r="W40">
            <v>38.200000000000003</v>
          </cell>
          <cell r="X40">
            <v>47.7</v>
          </cell>
          <cell r="Y40">
            <v>2.66</v>
          </cell>
          <cell r="Z40">
            <v>1.05</v>
          </cell>
          <cell r="AA40">
            <v>1.5</v>
          </cell>
          <cell r="AB40">
            <v>3.5</v>
          </cell>
          <cell r="AC40" t="str">
            <v>-</v>
          </cell>
          <cell r="AD40" t="str">
            <v>-</v>
          </cell>
          <cell r="AE40" t="str">
            <v>-</v>
          </cell>
          <cell r="AF40" t="str">
            <v>+1560</v>
          </cell>
          <cell r="AG40" t="str">
            <v>+1560</v>
          </cell>
          <cell r="AH40" t="str">
            <v>+1560</v>
          </cell>
          <cell r="AI40" t="str">
            <v>+1560</v>
          </cell>
          <cell r="AJ40" t="str">
            <v>+1560</v>
          </cell>
          <cell r="AK40" t="str">
            <v>+1560</v>
          </cell>
          <cell r="AL40" t="str">
            <v>+1560</v>
          </cell>
          <cell r="AM40" t="str">
            <v>+1560</v>
          </cell>
          <cell r="AN40">
            <v>3.2</v>
          </cell>
          <cell r="AO40">
            <v>17.3</v>
          </cell>
          <cell r="AP40">
            <v>0.38</v>
          </cell>
          <cell r="AQ40">
            <v>21</v>
          </cell>
          <cell r="AR40">
            <v>0.33</v>
          </cell>
          <cell r="AS40">
            <v>5</v>
          </cell>
          <cell r="AT40">
            <v>1.3</v>
          </cell>
          <cell r="AU40">
            <v>940</v>
          </cell>
          <cell r="AV40" t="str">
            <v>BV Minerals (Amdel)</v>
          </cell>
          <cell r="AW40" t="str">
            <v>L106905</v>
          </cell>
          <cell r="AX40">
            <v>1</v>
          </cell>
          <cell r="AY40" t="str">
            <v>-</v>
          </cell>
          <cell r="AZ40" t="str">
            <v>-</v>
          </cell>
          <cell r="BA40" t="str">
            <v>-</v>
          </cell>
          <cell r="BB40" t="str">
            <v>-</v>
          </cell>
          <cell r="BC40" t="str">
            <v>-</v>
          </cell>
          <cell r="BD40" t="str">
            <v>-</v>
          </cell>
          <cell r="BE40" t="str">
            <v>-</v>
          </cell>
          <cell r="BF40" t="str">
            <v>-</v>
          </cell>
          <cell r="BG40" t="str">
            <v>-</v>
          </cell>
          <cell r="BH40" t="str">
            <v>-</v>
          </cell>
          <cell r="BI40" t="str">
            <v>-</v>
          </cell>
          <cell r="BJ40" t="str">
            <v>-</v>
          </cell>
          <cell r="BK40" t="str">
            <v>-</v>
          </cell>
          <cell r="BL40" t="str">
            <v>-</v>
          </cell>
          <cell r="BM40" t="str">
            <v>-</v>
          </cell>
          <cell r="BN40" t="str">
            <v>-</v>
          </cell>
          <cell r="BO40">
            <v>66.5</v>
          </cell>
          <cell r="BP40">
            <v>25.2</v>
          </cell>
          <cell r="BQ40">
            <v>3.04</v>
          </cell>
          <cell r="BR40">
            <v>0.49</v>
          </cell>
          <cell r="BS40">
            <v>0.54</v>
          </cell>
          <cell r="BT40">
            <v>0.13</v>
          </cell>
          <cell r="BU40">
            <v>2.31</v>
          </cell>
          <cell r="BV40">
            <v>1.18</v>
          </cell>
          <cell r="BW40" t="str">
            <v>&lt;0.02</v>
          </cell>
          <cell r="BX40">
            <v>0.51</v>
          </cell>
          <cell r="BY40">
            <v>0.13</v>
          </cell>
          <cell r="BZ40">
            <v>0.13</v>
          </cell>
          <cell r="CA40">
            <v>0.13</v>
          </cell>
          <cell r="CB40">
            <v>0.02</v>
          </cell>
          <cell r="CC40" t="str">
            <v>&lt;0.02</v>
          </cell>
          <cell r="CD40" t="str">
            <v>BV Minerals (Amdel)</v>
          </cell>
          <cell r="CE40" t="str">
            <v>L106918</v>
          </cell>
          <cell r="CF40" t="str">
            <v>-</v>
          </cell>
          <cell r="CG40" t="str">
            <v>-</v>
          </cell>
          <cell r="CH40" t="str">
            <v>-</v>
          </cell>
          <cell r="CI40" t="str">
            <v>-</v>
          </cell>
          <cell r="CJ40" t="str">
            <v>-</v>
          </cell>
        </row>
        <row r="41">
          <cell r="B41" t="str">
            <v>85015104CCC28</v>
          </cell>
          <cell r="C41">
            <v>28</v>
          </cell>
          <cell r="D41" t="str">
            <v>085-093</v>
          </cell>
          <cell r="E41" t="str">
            <v>UCB</v>
          </cell>
          <cell r="F41">
            <v>1851901</v>
          </cell>
          <cell r="G41">
            <v>154.97999999999999</v>
          </cell>
          <cell r="H41">
            <v>162.47999999999999</v>
          </cell>
          <cell r="I41">
            <v>7.5</v>
          </cell>
          <cell r="J41">
            <v>7.5</v>
          </cell>
          <cell r="K41" t="str">
            <v>TD</v>
          </cell>
          <cell r="L41" t="str">
            <v>S1.50F1.90</v>
          </cell>
          <cell r="M41">
            <v>53.9</v>
          </cell>
          <cell r="N41">
            <v>1.1000000000000001</v>
          </cell>
          <cell r="O41">
            <v>38.5</v>
          </cell>
          <cell r="P41">
            <v>14</v>
          </cell>
          <cell r="Q41">
            <v>46.4</v>
          </cell>
          <cell r="R41">
            <v>20.57</v>
          </cell>
          <cell r="S41">
            <v>34.06</v>
          </cell>
          <cell r="T41">
            <v>2.8000000000000001E-2</v>
          </cell>
          <cell r="U41">
            <v>2.9000000000000001E-2</v>
          </cell>
          <cell r="V41">
            <v>67</v>
          </cell>
          <cell r="W41">
            <v>31</v>
          </cell>
          <cell r="X41">
            <v>50.6</v>
          </cell>
          <cell r="Y41">
            <v>2.87</v>
          </cell>
          <cell r="Z41">
            <v>1.19</v>
          </cell>
          <cell r="AA41">
            <v>2.46</v>
          </cell>
          <cell r="AB41">
            <v>3.3</v>
          </cell>
          <cell r="AC41" t="str">
            <v>-</v>
          </cell>
          <cell r="AD41" t="str">
            <v>-</v>
          </cell>
          <cell r="AE41" t="str">
            <v>-</v>
          </cell>
          <cell r="AF41">
            <v>1530</v>
          </cell>
          <cell r="AG41" t="str">
            <v>+1560</v>
          </cell>
          <cell r="AH41" t="str">
            <v>+1560</v>
          </cell>
          <cell r="AI41" t="str">
            <v>+1560</v>
          </cell>
          <cell r="AJ41" t="str">
            <v>+1560</v>
          </cell>
          <cell r="AK41" t="str">
            <v>+1560</v>
          </cell>
          <cell r="AL41" t="str">
            <v>+1560</v>
          </cell>
          <cell r="AM41" t="str">
            <v>+1560</v>
          </cell>
          <cell r="AN41">
            <v>6.3</v>
          </cell>
          <cell r="AO41">
            <v>27.9</v>
          </cell>
          <cell r="AP41">
            <v>0.24</v>
          </cell>
          <cell r="AQ41">
            <v>18</v>
          </cell>
          <cell r="AR41">
            <v>0.39</v>
          </cell>
          <cell r="AS41">
            <v>3</v>
          </cell>
          <cell r="AT41">
            <v>1</v>
          </cell>
          <cell r="AU41">
            <v>1000</v>
          </cell>
          <cell r="AV41" t="str">
            <v>BV Minerals (Amdel)</v>
          </cell>
          <cell r="AW41" t="str">
            <v>L106905</v>
          </cell>
          <cell r="AX41">
            <v>1</v>
          </cell>
          <cell r="AY41" t="str">
            <v>-</v>
          </cell>
          <cell r="AZ41" t="str">
            <v>-</v>
          </cell>
          <cell r="BA41" t="str">
            <v>-</v>
          </cell>
          <cell r="BB41" t="str">
            <v>-</v>
          </cell>
          <cell r="BC41" t="str">
            <v>-</v>
          </cell>
          <cell r="BD41" t="str">
            <v>-</v>
          </cell>
          <cell r="BE41" t="str">
            <v>-</v>
          </cell>
          <cell r="BF41" t="str">
            <v>-</v>
          </cell>
          <cell r="BG41" t="str">
            <v>-</v>
          </cell>
          <cell r="BH41" t="str">
            <v>-</v>
          </cell>
          <cell r="BI41" t="str">
            <v>-</v>
          </cell>
          <cell r="BJ41" t="str">
            <v>-</v>
          </cell>
          <cell r="BK41" t="str">
            <v>-</v>
          </cell>
          <cell r="BL41" t="str">
            <v>-</v>
          </cell>
          <cell r="BM41" t="str">
            <v>-</v>
          </cell>
          <cell r="BN41" t="str">
            <v>-</v>
          </cell>
          <cell r="BO41">
            <v>64.400000000000006</v>
          </cell>
          <cell r="BP41">
            <v>25.9</v>
          </cell>
          <cell r="BQ41">
            <v>4.63</v>
          </cell>
          <cell r="BR41">
            <v>0.41</v>
          </cell>
          <cell r="BS41">
            <v>0.55000000000000004</v>
          </cell>
          <cell r="BT41">
            <v>0.2</v>
          </cell>
          <cell r="BU41">
            <v>1.83</v>
          </cell>
          <cell r="BV41">
            <v>1.0900000000000001</v>
          </cell>
          <cell r="BW41" t="str">
            <v>&lt;0.02</v>
          </cell>
          <cell r="BX41">
            <v>0.17</v>
          </cell>
          <cell r="BY41">
            <v>0.18</v>
          </cell>
          <cell r="BZ41">
            <v>0.06</v>
          </cell>
          <cell r="CA41">
            <v>0.05</v>
          </cell>
          <cell r="CB41" t="str">
            <v>&lt;0.02</v>
          </cell>
          <cell r="CC41" t="str">
            <v>&lt;0.02</v>
          </cell>
          <cell r="CD41" t="str">
            <v>BV Minerals (Amdel)</v>
          </cell>
          <cell r="CE41" t="str">
            <v>L106918</v>
          </cell>
          <cell r="CF41" t="str">
            <v>-</v>
          </cell>
          <cell r="CG41" t="str">
            <v>-</v>
          </cell>
          <cell r="CH41" t="str">
            <v>-</v>
          </cell>
          <cell r="CI41" t="str">
            <v>-</v>
          </cell>
          <cell r="CJ41" t="str">
            <v>-</v>
          </cell>
        </row>
        <row r="42">
          <cell r="B42" t="str">
            <v>85015104CCC29</v>
          </cell>
          <cell r="C42">
            <v>29</v>
          </cell>
          <cell r="D42" t="str">
            <v>094-102</v>
          </cell>
          <cell r="E42" t="str">
            <v>UCB</v>
          </cell>
          <cell r="F42">
            <v>1851902</v>
          </cell>
          <cell r="G42">
            <v>162.47999999999999</v>
          </cell>
          <cell r="H42">
            <v>170.02</v>
          </cell>
          <cell r="I42">
            <v>7.4500000000000455</v>
          </cell>
          <cell r="J42">
            <v>7.5400000000000205</v>
          </cell>
          <cell r="K42" t="str">
            <v>TD</v>
          </cell>
          <cell r="L42" t="str">
            <v>S1.50F1.90</v>
          </cell>
          <cell r="M42">
            <v>44.1</v>
          </cell>
          <cell r="N42">
            <v>1</v>
          </cell>
          <cell r="O42">
            <v>39.6</v>
          </cell>
          <cell r="P42">
            <v>14</v>
          </cell>
          <cell r="Q42">
            <v>45.4</v>
          </cell>
          <cell r="R42">
            <v>20.38</v>
          </cell>
          <cell r="S42">
            <v>34.31</v>
          </cell>
          <cell r="T42">
            <v>0.124</v>
          </cell>
          <cell r="U42">
            <v>0.122</v>
          </cell>
          <cell r="V42">
            <v>70</v>
          </cell>
          <cell r="W42">
            <v>30.1</v>
          </cell>
          <cell r="X42">
            <v>50.1</v>
          </cell>
          <cell r="Y42">
            <v>2.84</v>
          </cell>
          <cell r="Z42">
            <v>1.17</v>
          </cell>
          <cell r="AA42">
            <v>1.0900000000000001</v>
          </cell>
          <cell r="AB42">
            <v>4.2</v>
          </cell>
          <cell r="AC42" t="str">
            <v>-</v>
          </cell>
          <cell r="AD42" t="str">
            <v>-</v>
          </cell>
          <cell r="AE42" t="str">
            <v>-</v>
          </cell>
          <cell r="AF42" t="str">
            <v>+1560</v>
          </cell>
          <cell r="AG42" t="str">
            <v>+1560</v>
          </cell>
          <cell r="AH42" t="str">
            <v>+1560</v>
          </cell>
          <cell r="AI42" t="str">
            <v>+1560</v>
          </cell>
          <cell r="AJ42" t="str">
            <v>+1560</v>
          </cell>
          <cell r="AK42" t="str">
            <v>+1560</v>
          </cell>
          <cell r="AL42" t="str">
            <v>+1560</v>
          </cell>
          <cell r="AM42" t="str">
            <v>+1560</v>
          </cell>
          <cell r="AN42">
            <v>3.4</v>
          </cell>
          <cell r="AO42">
            <v>26</v>
          </cell>
          <cell r="AP42">
            <v>0.26</v>
          </cell>
          <cell r="AQ42">
            <v>34</v>
          </cell>
          <cell r="AR42">
            <v>0.17</v>
          </cell>
          <cell r="AS42">
            <v>3</v>
          </cell>
          <cell r="AT42">
            <v>0.7</v>
          </cell>
          <cell r="AU42">
            <v>1100</v>
          </cell>
          <cell r="AV42" t="str">
            <v>BV Minerals (Amdel)</v>
          </cell>
          <cell r="AW42" t="str">
            <v>L106960</v>
          </cell>
          <cell r="AX42">
            <v>1</v>
          </cell>
          <cell r="AY42" t="str">
            <v>-</v>
          </cell>
          <cell r="AZ42" t="str">
            <v>-</v>
          </cell>
          <cell r="BA42" t="str">
            <v>-</v>
          </cell>
          <cell r="BB42" t="str">
            <v>-</v>
          </cell>
          <cell r="BC42" t="str">
            <v>-</v>
          </cell>
          <cell r="BD42" t="str">
            <v>-</v>
          </cell>
          <cell r="BE42" t="str">
            <v>-</v>
          </cell>
          <cell r="BF42" t="str">
            <v>-</v>
          </cell>
          <cell r="BG42" t="str">
            <v>-</v>
          </cell>
          <cell r="BH42" t="str">
            <v>-</v>
          </cell>
          <cell r="BI42" t="str">
            <v>-</v>
          </cell>
          <cell r="BJ42" t="str">
            <v>-</v>
          </cell>
          <cell r="BK42" t="str">
            <v>-</v>
          </cell>
          <cell r="BL42" t="str">
            <v>-</v>
          </cell>
          <cell r="BM42" t="str">
            <v>-</v>
          </cell>
          <cell r="BN42" t="str">
            <v>-</v>
          </cell>
          <cell r="BO42">
            <v>64.099999999999994</v>
          </cell>
          <cell r="BP42">
            <v>28.1</v>
          </cell>
          <cell r="BQ42">
            <v>1.54</v>
          </cell>
          <cell r="BR42">
            <v>0.95</v>
          </cell>
          <cell r="BS42">
            <v>0.53</v>
          </cell>
          <cell r="BT42">
            <v>0.2</v>
          </cell>
          <cell r="BU42">
            <v>1.37</v>
          </cell>
          <cell r="BV42">
            <v>1.18</v>
          </cell>
          <cell r="BW42" t="str">
            <v>&lt;0.02</v>
          </cell>
          <cell r="BX42">
            <v>0.7</v>
          </cell>
          <cell r="BY42">
            <v>0.5</v>
          </cell>
          <cell r="BZ42">
            <v>0.18</v>
          </cell>
          <cell r="CA42">
            <v>0.19</v>
          </cell>
          <cell r="CB42">
            <v>0.03</v>
          </cell>
          <cell r="CC42" t="str">
            <v>&lt;0.02</v>
          </cell>
          <cell r="CD42" t="str">
            <v>BV Minerals (Amdel)</v>
          </cell>
          <cell r="CE42" t="str">
            <v>L106968</v>
          </cell>
          <cell r="CF42" t="str">
            <v>-</v>
          </cell>
          <cell r="CG42" t="str">
            <v>-</v>
          </cell>
          <cell r="CH42" t="str">
            <v>-</v>
          </cell>
          <cell r="CI42" t="str">
            <v>-</v>
          </cell>
          <cell r="CJ42" t="str">
            <v>-</v>
          </cell>
        </row>
        <row r="43">
          <cell r="B43" t="str">
            <v>85015104CCC30</v>
          </cell>
          <cell r="C43">
            <v>30</v>
          </cell>
          <cell r="D43" t="str">
            <v>106-109</v>
          </cell>
          <cell r="E43" t="str">
            <v>MCM</v>
          </cell>
          <cell r="F43">
            <v>1851903</v>
          </cell>
          <cell r="G43">
            <v>171.73</v>
          </cell>
          <cell r="H43">
            <v>174.14</v>
          </cell>
          <cell r="I43">
            <v>2.4099999999999966</v>
          </cell>
          <cell r="J43">
            <v>2.4099999999999966</v>
          </cell>
          <cell r="K43" t="str">
            <v>TD</v>
          </cell>
          <cell r="L43" t="str">
            <v>S1.50F1.90</v>
          </cell>
          <cell r="M43">
            <v>32</v>
          </cell>
          <cell r="N43">
            <v>1.1000000000000001</v>
          </cell>
          <cell r="O43">
            <v>41.4</v>
          </cell>
          <cell r="P43">
            <v>13.5</v>
          </cell>
          <cell r="Q43">
            <v>44</v>
          </cell>
          <cell r="R43">
            <v>19.45</v>
          </cell>
          <cell r="S43">
            <v>33.83</v>
          </cell>
          <cell r="T43">
            <v>0.371</v>
          </cell>
          <cell r="U43">
            <v>0.377</v>
          </cell>
          <cell r="V43">
            <v>63</v>
          </cell>
          <cell r="W43">
            <v>28.8</v>
          </cell>
          <cell r="X43">
            <v>48.4</v>
          </cell>
          <cell r="Y43">
            <v>2.74</v>
          </cell>
          <cell r="Z43">
            <v>1.08</v>
          </cell>
          <cell r="AA43">
            <v>0.79</v>
          </cell>
          <cell r="AB43">
            <v>4.5</v>
          </cell>
          <cell r="AC43" t="str">
            <v>-</v>
          </cell>
          <cell r="AD43" t="str">
            <v>-</v>
          </cell>
          <cell r="AE43" t="str">
            <v>-</v>
          </cell>
          <cell r="AF43" t="str">
            <v>+1560</v>
          </cell>
          <cell r="AG43" t="str">
            <v>+1560</v>
          </cell>
          <cell r="AH43" t="str">
            <v>+1560</v>
          </cell>
          <cell r="AI43" t="str">
            <v>+1560</v>
          </cell>
          <cell r="AJ43" t="str">
            <v>+1560</v>
          </cell>
          <cell r="AK43" t="str">
            <v>+1560</v>
          </cell>
          <cell r="AL43" t="str">
            <v>+1560</v>
          </cell>
          <cell r="AM43" t="str">
            <v>+1560</v>
          </cell>
          <cell r="AN43">
            <v>2.7</v>
          </cell>
          <cell r="AO43">
            <v>18.100000000000001</v>
          </cell>
          <cell r="AP43">
            <v>0.38</v>
          </cell>
          <cell r="AQ43">
            <v>25</v>
          </cell>
          <cell r="AR43">
            <v>0.12</v>
          </cell>
          <cell r="AS43">
            <v>5</v>
          </cell>
          <cell r="AT43">
            <v>1.3</v>
          </cell>
          <cell r="AU43">
            <v>1500</v>
          </cell>
          <cell r="AV43" t="str">
            <v>BV Minerals (Amdel)</v>
          </cell>
          <cell r="AW43" t="str">
            <v>L106905</v>
          </cell>
          <cell r="AX43">
            <v>1</v>
          </cell>
          <cell r="AY43" t="str">
            <v>-</v>
          </cell>
          <cell r="AZ43" t="str">
            <v>-</v>
          </cell>
          <cell r="BA43" t="str">
            <v>-</v>
          </cell>
          <cell r="BB43" t="str">
            <v>-</v>
          </cell>
          <cell r="BC43" t="str">
            <v>-</v>
          </cell>
          <cell r="BD43" t="str">
            <v>-</v>
          </cell>
          <cell r="BE43" t="str">
            <v>-</v>
          </cell>
          <cell r="BF43" t="str">
            <v>-</v>
          </cell>
          <cell r="BG43" t="str">
            <v>-</v>
          </cell>
          <cell r="BH43" t="str">
            <v>-</v>
          </cell>
          <cell r="BI43" t="str">
            <v>-</v>
          </cell>
          <cell r="BJ43" t="str">
            <v>-</v>
          </cell>
          <cell r="BK43" t="str">
            <v>-</v>
          </cell>
          <cell r="BL43" t="str">
            <v>-</v>
          </cell>
          <cell r="BM43" t="str">
            <v>-</v>
          </cell>
          <cell r="BN43" t="str">
            <v>-</v>
          </cell>
          <cell r="BO43">
            <v>61.2</v>
          </cell>
          <cell r="BP43">
            <v>28.4</v>
          </cell>
          <cell r="BQ43">
            <v>1.67</v>
          </cell>
          <cell r="BR43">
            <v>2.58</v>
          </cell>
          <cell r="BS43">
            <v>0.41</v>
          </cell>
          <cell r="BT43">
            <v>0.1</v>
          </cell>
          <cell r="BU43">
            <v>1.46</v>
          </cell>
          <cell r="BV43">
            <v>1.42</v>
          </cell>
          <cell r="BW43" t="str">
            <v>&lt;0.02</v>
          </cell>
          <cell r="BX43">
            <v>2.06</v>
          </cell>
          <cell r="BY43">
            <v>0.19</v>
          </cell>
          <cell r="BZ43">
            <v>0.16</v>
          </cell>
          <cell r="CA43">
            <v>0.14000000000000001</v>
          </cell>
          <cell r="CB43">
            <v>0.03</v>
          </cell>
          <cell r="CC43">
            <v>0.02</v>
          </cell>
          <cell r="CD43" t="str">
            <v>BV Minerals (Amdel)</v>
          </cell>
          <cell r="CE43" t="str">
            <v>L106918</v>
          </cell>
          <cell r="CF43" t="str">
            <v>-</v>
          </cell>
          <cell r="CG43" t="str">
            <v>-</v>
          </cell>
          <cell r="CH43" t="str">
            <v>-</v>
          </cell>
          <cell r="CI43" t="str">
            <v>-</v>
          </cell>
          <cell r="CJ43" t="str">
            <v>-</v>
          </cell>
        </row>
        <row r="44">
          <cell r="B44" t="str">
            <v>85015104CCC31</v>
          </cell>
          <cell r="C44">
            <v>31</v>
          </cell>
          <cell r="D44" t="str">
            <v>112-122</v>
          </cell>
          <cell r="E44" t="str">
            <v>LCUT_LCUB</v>
          </cell>
          <cell r="F44">
            <v>1851904</v>
          </cell>
          <cell r="G44">
            <v>175.13</v>
          </cell>
          <cell r="H44">
            <v>180.19</v>
          </cell>
          <cell r="I44">
            <v>5.0099999999999909</v>
          </cell>
          <cell r="J44">
            <v>5.0600000000000023</v>
          </cell>
          <cell r="K44" t="str">
            <v>TD</v>
          </cell>
          <cell r="L44" t="str">
            <v>S1.50F1.90</v>
          </cell>
          <cell r="M44">
            <v>47.1</v>
          </cell>
          <cell r="N44">
            <v>1.2</v>
          </cell>
          <cell r="O44">
            <v>40</v>
          </cell>
          <cell r="P44">
            <v>14</v>
          </cell>
          <cell r="Q44">
            <v>44.8</v>
          </cell>
          <cell r="R44">
            <v>19.97</v>
          </cell>
          <cell r="S44">
            <v>33.96</v>
          </cell>
          <cell r="T44">
            <v>0.22</v>
          </cell>
          <cell r="U44">
            <v>0.223</v>
          </cell>
          <cell r="V44">
            <v>67</v>
          </cell>
          <cell r="W44">
            <v>31.6</v>
          </cell>
          <cell r="X44">
            <v>49.7</v>
          </cell>
          <cell r="Y44">
            <v>2.77</v>
          </cell>
          <cell r="Z44">
            <v>1.19</v>
          </cell>
          <cell r="AA44">
            <v>0.53</v>
          </cell>
          <cell r="AB44">
            <v>4.5999999999999996</v>
          </cell>
          <cell r="AC44" t="str">
            <v>-</v>
          </cell>
          <cell r="AD44" t="str">
            <v>-</v>
          </cell>
          <cell r="AE44" t="str">
            <v>-</v>
          </cell>
          <cell r="AF44" t="str">
            <v>+1560</v>
          </cell>
          <cell r="AG44" t="str">
            <v>+1560</v>
          </cell>
          <cell r="AH44" t="str">
            <v>+1560</v>
          </cell>
          <cell r="AI44" t="str">
            <v>+1560</v>
          </cell>
          <cell r="AJ44" t="str">
            <v>+1560</v>
          </cell>
          <cell r="AK44" t="str">
            <v>+1560</v>
          </cell>
          <cell r="AL44" t="str">
            <v>+1560</v>
          </cell>
          <cell r="AM44" t="str">
            <v>+1560</v>
          </cell>
          <cell r="AN44">
            <v>2.2999999999999998</v>
          </cell>
          <cell r="AO44">
            <v>20.8</v>
          </cell>
          <cell r="AP44">
            <v>0.24</v>
          </cell>
          <cell r="AQ44">
            <v>18</v>
          </cell>
          <cell r="AR44">
            <v>0.06</v>
          </cell>
          <cell r="AS44">
            <v>3</v>
          </cell>
          <cell r="AT44">
            <v>1</v>
          </cell>
          <cell r="AU44">
            <v>830</v>
          </cell>
          <cell r="AV44" t="str">
            <v>BV Minerals (Amdel)</v>
          </cell>
          <cell r="AW44" t="str">
            <v>L106960</v>
          </cell>
          <cell r="AX44">
            <v>1</v>
          </cell>
          <cell r="AY44" t="str">
            <v>-</v>
          </cell>
          <cell r="AZ44" t="str">
            <v>-</v>
          </cell>
          <cell r="BA44" t="str">
            <v>-</v>
          </cell>
          <cell r="BB44" t="str">
            <v>-</v>
          </cell>
          <cell r="BC44" t="str">
            <v>-</v>
          </cell>
          <cell r="BD44" t="str">
            <v>-</v>
          </cell>
          <cell r="BE44" t="str">
            <v>-</v>
          </cell>
          <cell r="BF44" t="str">
            <v>-</v>
          </cell>
          <cell r="BG44" t="str">
            <v>-</v>
          </cell>
          <cell r="BH44" t="str">
            <v>-</v>
          </cell>
          <cell r="BI44" t="str">
            <v>-</v>
          </cell>
          <cell r="BJ44" t="str">
            <v>-</v>
          </cell>
          <cell r="BK44" t="str">
            <v>-</v>
          </cell>
          <cell r="BL44" t="str">
            <v>-</v>
          </cell>
          <cell r="BM44" t="str">
            <v>-</v>
          </cell>
          <cell r="BN44" t="str">
            <v>-</v>
          </cell>
          <cell r="BO44">
            <v>62.9</v>
          </cell>
          <cell r="BP44">
            <v>27.4</v>
          </cell>
          <cell r="BQ44">
            <v>1.26</v>
          </cell>
          <cell r="BR44">
            <v>2.37</v>
          </cell>
          <cell r="BS44">
            <v>0.73</v>
          </cell>
          <cell r="BT44">
            <v>0.13</v>
          </cell>
          <cell r="BU44">
            <v>1.28</v>
          </cell>
          <cell r="BV44">
            <v>1.24</v>
          </cell>
          <cell r="BW44" t="str">
            <v>&lt;0.02</v>
          </cell>
          <cell r="BX44">
            <v>1.26</v>
          </cell>
          <cell r="BY44">
            <v>0.62</v>
          </cell>
          <cell r="BZ44">
            <v>0.16</v>
          </cell>
          <cell r="CA44">
            <v>0.13</v>
          </cell>
          <cell r="CB44" t="str">
            <v>&lt;0.02</v>
          </cell>
          <cell r="CC44" t="str">
            <v>&lt;0.02</v>
          </cell>
          <cell r="CD44" t="str">
            <v>BV Minerals (Amdel)</v>
          </cell>
          <cell r="CE44" t="str">
            <v>L106952</v>
          </cell>
          <cell r="CF44" t="str">
            <v>-</v>
          </cell>
          <cell r="CG44" t="str">
            <v>-</v>
          </cell>
          <cell r="CH44" t="str">
            <v>-</v>
          </cell>
          <cell r="CI44" t="str">
            <v>-</v>
          </cell>
          <cell r="CJ44" t="str">
            <v>-</v>
          </cell>
        </row>
        <row r="45">
          <cell r="B45" t="str">
            <v>85015104CCC32</v>
          </cell>
          <cell r="C45">
            <v>32</v>
          </cell>
          <cell r="D45" t="str">
            <v>123-127</v>
          </cell>
          <cell r="E45" t="str">
            <v>LC45_LC46</v>
          </cell>
          <cell r="F45">
            <v>1851905</v>
          </cell>
          <cell r="G45">
            <v>180.19</v>
          </cell>
          <cell r="H45">
            <v>182.71</v>
          </cell>
          <cell r="I45">
            <v>2.5200000000000102</v>
          </cell>
          <cell r="J45">
            <v>2.5200000000000102</v>
          </cell>
          <cell r="K45" t="str">
            <v>TD</v>
          </cell>
          <cell r="L45" t="str">
            <v>S1.50F1.90</v>
          </cell>
          <cell r="M45">
            <v>22.7</v>
          </cell>
          <cell r="N45">
            <v>1.1000000000000001</v>
          </cell>
          <cell r="O45">
            <v>32.700000000000003</v>
          </cell>
          <cell r="P45">
            <v>14.1</v>
          </cell>
          <cell r="Q45">
            <v>52.1</v>
          </cell>
          <cell r="R45">
            <v>23.16</v>
          </cell>
          <cell r="S45">
            <v>34.979999999999997</v>
          </cell>
          <cell r="T45">
            <v>8.0000000000000002E-3</v>
          </cell>
          <cell r="U45">
            <v>0.01</v>
          </cell>
          <cell r="V45">
            <v>69</v>
          </cell>
          <cell r="W45">
            <v>25.8</v>
          </cell>
          <cell r="X45">
            <v>57.4</v>
          </cell>
          <cell r="Y45">
            <v>3.02</v>
          </cell>
          <cell r="Z45">
            <v>1.41</v>
          </cell>
          <cell r="AA45">
            <v>0.52</v>
          </cell>
          <cell r="AB45">
            <v>3.9</v>
          </cell>
          <cell r="AC45" t="str">
            <v>-</v>
          </cell>
          <cell r="AD45" t="str">
            <v>-</v>
          </cell>
          <cell r="AE45" t="str">
            <v>-</v>
          </cell>
          <cell r="AF45">
            <v>1450</v>
          </cell>
          <cell r="AG45">
            <v>1530</v>
          </cell>
          <cell r="AH45">
            <v>1550</v>
          </cell>
          <cell r="AI45" t="str">
            <v>+1560</v>
          </cell>
          <cell r="AJ45">
            <v>1470</v>
          </cell>
          <cell r="AK45">
            <v>1530</v>
          </cell>
          <cell r="AL45" t="str">
            <v>+1560</v>
          </cell>
          <cell r="AM45" t="str">
            <v>+1560</v>
          </cell>
          <cell r="AN45">
            <v>0.6</v>
          </cell>
          <cell r="AO45">
            <v>17</v>
          </cell>
          <cell r="AP45">
            <v>0.18</v>
          </cell>
          <cell r="AQ45">
            <v>10</v>
          </cell>
          <cell r="AR45">
            <v>0.05</v>
          </cell>
          <cell r="AS45" t="str">
            <v>&lt;2</v>
          </cell>
          <cell r="AT45">
            <v>0.5</v>
          </cell>
          <cell r="AU45">
            <v>270</v>
          </cell>
          <cell r="AV45" t="str">
            <v>BV Minerals (Amdel)</v>
          </cell>
          <cell r="AW45" t="str">
            <v>L106905</v>
          </cell>
          <cell r="AX45">
            <v>1</v>
          </cell>
          <cell r="AY45" t="str">
            <v>-</v>
          </cell>
          <cell r="AZ45" t="str">
            <v>-</v>
          </cell>
          <cell r="BA45" t="str">
            <v>-</v>
          </cell>
          <cell r="BB45" t="str">
            <v>-</v>
          </cell>
          <cell r="BC45" t="str">
            <v>-</v>
          </cell>
          <cell r="BD45" t="str">
            <v>-</v>
          </cell>
          <cell r="BE45" t="str">
            <v>-</v>
          </cell>
          <cell r="BF45" t="str">
            <v>-</v>
          </cell>
          <cell r="BG45" t="str">
            <v>-</v>
          </cell>
          <cell r="BH45" t="str">
            <v>-</v>
          </cell>
          <cell r="BI45" t="str">
            <v>-</v>
          </cell>
          <cell r="BJ45" t="str">
            <v>-</v>
          </cell>
          <cell r="BK45" t="str">
            <v>-</v>
          </cell>
          <cell r="BL45" t="str">
            <v>-</v>
          </cell>
          <cell r="BM45" t="str">
            <v>-</v>
          </cell>
          <cell r="BN45" t="str">
            <v>-</v>
          </cell>
          <cell r="BO45">
            <v>70.099999999999994</v>
          </cell>
          <cell r="BP45">
            <v>21.2</v>
          </cell>
          <cell r="BQ45">
            <v>1.51</v>
          </cell>
          <cell r="BR45">
            <v>1.79</v>
          </cell>
          <cell r="BS45">
            <v>1.08</v>
          </cell>
          <cell r="BT45">
            <v>0.24</v>
          </cell>
          <cell r="BU45">
            <v>1.84</v>
          </cell>
          <cell r="BV45">
            <v>0.91</v>
          </cell>
          <cell r="BW45" t="str">
            <v>&lt;0.02</v>
          </cell>
          <cell r="BX45">
            <v>7.0000000000000007E-2</v>
          </cell>
          <cell r="BY45">
            <v>0.97</v>
          </cell>
          <cell r="BZ45">
            <v>0.05</v>
          </cell>
          <cell r="CA45">
            <v>0.04</v>
          </cell>
          <cell r="CB45">
            <v>0.02</v>
          </cell>
          <cell r="CC45" t="str">
            <v>&lt;0.02</v>
          </cell>
          <cell r="CD45" t="str">
            <v>BV Minerals (Amdel)</v>
          </cell>
          <cell r="CE45" t="str">
            <v>L106918</v>
          </cell>
          <cell r="CF45" t="str">
            <v>-</v>
          </cell>
          <cell r="CG45" t="str">
            <v>-</v>
          </cell>
          <cell r="CH45" t="str">
            <v>-</v>
          </cell>
          <cell r="CI45" t="str">
            <v>-</v>
          </cell>
          <cell r="CJ45" t="str">
            <v>-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lies_ARD"/>
      <sheetName val="Plies_Extended"/>
      <sheetName val="Ply Valid"/>
      <sheetName val="Washes"/>
      <sheetName val="Pretreat"/>
      <sheetName val="Washes FC"/>
      <sheetName val="RC - Basic"/>
      <sheetName val="RC - Ext"/>
      <sheetName val="RC - Fast Coke"/>
      <sheetName val="CF Comps"/>
      <sheetName val="CF - Coking Coal"/>
      <sheetName val="CF_Coking "/>
      <sheetName val="CF_Coking Val"/>
      <sheetName val="Seylers Chart Val_Coking"/>
      <sheetName val="CF - Export"/>
      <sheetName val="Seylers Chart Val_Export"/>
      <sheetName val="CF - Domestic"/>
      <sheetName val="Seylers Chart Val_Dom"/>
      <sheetName val="Petro"/>
      <sheetName val="Raw"/>
      <sheetName val="Float_Sink"/>
      <sheetName val="Composites"/>
      <sheetName val="Raw-FS_Coal"/>
      <sheetName val="Coke_Comp"/>
      <sheetName val="Therm_Comp"/>
      <sheetName val="Raw-FS_Non-Coal"/>
      <sheetName val="Print Macros"/>
    </sheetNames>
    <sheetDataSet>
      <sheetData sheetId="0" refreshError="1">
        <row r="8">
          <cell r="A8" t="str">
            <v>NE0614RP03</v>
          </cell>
          <cell r="C8" t="str">
            <v>B13499</v>
          </cell>
          <cell r="L8">
            <v>2.798</v>
          </cell>
        </row>
        <row r="9">
          <cell r="C9" t="str">
            <v>B13500</v>
          </cell>
          <cell r="L9">
            <v>3.4670000000000001</v>
          </cell>
        </row>
        <row r="10">
          <cell r="C10" t="str">
            <v>B13501</v>
          </cell>
          <cell r="L10">
            <v>4.367</v>
          </cell>
        </row>
        <row r="11">
          <cell r="C11" t="str">
            <v>B13502</v>
          </cell>
          <cell r="L11">
            <v>2.9649999999999999</v>
          </cell>
        </row>
        <row r="12">
          <cell r="C12" t="str">
            <v>B13503</v>
          </cell>
          <cell r="L12">
            <v>3.2130000000000001</v>
          </cell>
        </row>
        <row r="13">
          <cell r="C13" t="str">
            <v>B13504</v>
          </cell>
          <cell r="L13">
            <v>3.613</v>
          </cell>
        </row>
        <row r="14">
          <cell r="C14" t="str">
            <v>B13505</v>
          </cell>
          <cell r="L14">
            <v>3.9940000000000002</v>
          </cell>
        </row>
        <row r="15">
          <cell r="C15" t="str">
            <v>B13506</v>
          </cell>
          <cell r="L15">
            <v>3.6869999999999998</v>
          </cell>
        </row>
        <row r="16">
          <cell r="C16" t="str">
            <v>B13507</v>
          </cell>
          <cell r="L16">
            <v>2.0569999999999999</v>
          </cell>
        </row>
        <row r="17">
          <cell r="C17" t="str">
            <v>B13508</v>
          </cell>
          <cell r="L17">
            <v>4.45</v>
          </cell>
        </row>
        <row r="18">
          <cell r="C18" t="str">
            <v>B13509</v>
          </cell>
          <cell r="L18">
            <v>3.4729999999999999</v>
          </cell>
        </row>
        <row r="19">
          <cell r="C19" t="str">
            <v>B13510</v>
          </cell>
          <cell r="L19">
            <v>3.754</v>
          </cell>
        </row>
        <row r="20">
          <cell r="C20" t="str">
            <v>B13511</v>
          </cell>
          <cell r="L20">
            <v>6.17</v>
          </cell>
        </row>
        <row r="21">
          <cell r="C21" t="str">
            <v>B13512</v>
          </cell>
          <cell r="L21">
            <v>3.4750000000000001</v>
          </cell>
        </row>
        <row r="22">
          <cell r="C22" t="str">
            <v>B13513</v>
          </cell>
          <cell r="L22">
            <v>4.0650000000000004</v>
          </cell>
        </row>
        <row r="23">
          <cell r="C23" t="str">
            <v>B13514</v>
          </cell>
          <cell r="L23">
            <v>2.5209999999999999</v>
          </cell>
        </row>
        <row r="24">
          <cell r="C24" t="str">
            <v>B13515</v>
          </cell>
          <cell r="L24">
            <v>2.2719999999999998</v>
          </cell>
        </row>
        <row r="25">
          <cell r="C25" t="str">
            <v>B13516</v>
          </cell>
          <cell r="L25">
            <v>5.2850000000000001</v>
          </cell>
        </row>
        <row r="26">
          <cell r="C26" t="str">
            <v>B13517</v>
          </cell>
          <cell r="L26">
            <v>4.2640000000000002</v>
          </cell>
        </row>
        <row r="27">
          <cell r="C27" t="str">
            <v>B13518</v>
          </cell>
          <cell r="L27">
            <v>5.4139999999999997</v>
          </cell>
        </row>
        <row r="28">
          <cell r="C28" t="str">
            <v>B13519</v>
          </cell>
          <cell r="L28">
            <v>5.6550000000000002</v>
          </cell>
        </row>
        <row r="29">
          <cell r="C29" t="str">
            <v>B13520</v>
          </cell>
          <cell r="L29">
            <v>5.6219999999999999</v>
          </cell>
        </row>
        <row r="30">
          <cell r="C30" t="str">
            <v>B13521</v>
          </cell>
          <cell r="L30">
            <v>3.5430000000000001</v>
          </cell>
        </row>
        <row r="31">
          <cell r="C31" t="str">
            <v>B13522</v>
          </cell>
          <cell r="L31">
            <v>2.7549999999999999</v>
          </cell>
        </row>
        <row r="32">
          <cell r="C32" t="str">
            <v>B13523</v>
          </cell>
          <cell r="L32">
            <v>2.0790000000000002</v>
          </cell>
        </row>
        <row r="33">
          <cell r="C33" t="str">
            <v>B13524</v>
          </cell>
          <cell r="L33">
            <v>2.38</v>
          </cell>
        </row>
        <row r="34">
          <cell r="C34" t="str">
            <v>B13525</v>
          </cell>
          <cell r="L34">
            <v>4.343</v>
          </cell>
        </row>
        <row r="35">
          <cell r="C35" t="str">
            <v>B13526</v>
          </cell>
          <cell r="L35">
            <v>2.8069999999999999</v>
          </cell>
        </row>
        <row r="36">
          <cell r="C36" t="str">
            <v>B13527</v>
          </cell>
          <cell r="L36">
            <v>1.881</v>
          </cell>
        </row>
        <row r="37">
          <cell r="C37" t="str">
            <v>B13528</v>
          </cell>
          <cell r="L37">
            <v>4.3250000000000002</v>
          </cell>
        </row>
        <row r="39">
          <cell r="C39" t="str">
            <v>B32367</v>
          </cell>
        </row>
        <row r="40">
          <cell r="C40" t="str">
            <v>B32368</v>
          </cell>
        </row>
        <row r="41">
          <cell r="C41" t="str">
            <v>B32369</v>
          </cell>
        </row>
        <row r="42">
          <cell r="C42" t="str">
            <v>B32370</v>
          </cell>
        </row>
        <row r="43">
          <cell r="C43" t="str">
            <v>B32371</v>
          </cell>
        </row>
        <row r="44">
          <cell r="C44" t="str">
            <v>B32372</v>
          </cell>
        </row>
        <row r="45">
          <cell r="C45" t="str">
            <v>B32373</v>
          </cell>
        </row>
        <row r="46">
          <cell r="C46" t="str">
            <v>B32374</v>
          </cell>
        </row>
        <row r="47">
          <cell r="C47" t="str">
            <v>B32375</v>
          </cell>
        </row>
        <row r="48">
          <cell r="C48" t="str">
            <v>B32376</v>
          </cell>
        </row>
        <row r="49">
          <cell r="C49" t="str">
            <v>B32377</v>
          </cell>
        </row>
        <row r="50">
          <cell r="C50" t="str">
            <v>B32378</v>
          </cell>
        </row>
        <row r="51">
          <cell r="C51" t="str">
            <v>B32379</v>
          </cell>
        </row>
        <row r="52">
          <cell r="C52" t="str">
            <v>B32380</v>
          </cell>
        </row>
        <row r="53">
          <cell r="C53" t="str">
            <v>B32381</v>
          </cell>
        </row>
        <row r="54">
          <cell r="C54" t="str">
            <v>B32382</v>
          </cell>
        </row>
        <row r="55">
          <cell r="C55" t="str">
            <v>B32383</v>
          </cell>
        </row>
        <row r="56">
          <cell r="C56" t="str">
            <v>B32384</v>
          </cell>
        </row>
        <row r="57">
          <cell r="C57" t="str">
            <v>B32385</v>
          </cell>
        </row>
        <row r="58">
          <cell r="C58" t="str">
            <v>B32386</v>
          </cell>
        </row>
        <row r="59">
          <cell r="C59" t="str">
            <v>B32387</v>
          </cell>
        </row>
        <row r="60">
          <cell r="C60" t="str">
            <v>B32388</v>
          </cell>
        </row>
        <row r="61">
          <cell r="C61" t="str">
            <v>B32389</v>
          </cell>
        </row>
        <row r="62">
          <cell r="C62" t="str">
            <v>B32390</v>
          </cell>
        </row>
        <row r="63">
          <cell r="C63" t="str">
            <v>B32391</v>
          </cell>
        </row>
        <row r="64">
          <cell r="C64" t="str">
            <v>B32392</v>
          </cell>
        </row>
        <row r="65">
          <cell r="C65" t="str">
            <v>B32393</v>
          </cell>
        </row>
        <row r="66">
          <cell r="C66" t="str">
            <v>B32394</v>
          </cell>
        </row>
        <row r="67">
          <cell r="C67" t="str">
            <v>B32395</v>
          </cell>
        </row>
        <row r="68">
          <cell r="C68" t="str">
            <v>B32396</v>
          </cell>
        </row>
        <row r="69">
          <cell r="C69" t="str">
            <v>B32397</v>
          </cell>
        </row>
        <row r="70">
          <cell r="C70" t="str">
            <v>B32398</v>
          </cell>
        </row>
        <row r="71">
          <cell r="C71" t="str">
            <v>B32399</v>
          </cell>
        </row>
        <row r="72">
          <cell r="C72" t="str">
            <v>B32400</v>
          </cell>
        </row>
        <row r="73">
          <cell r="C73" t="str">
            <v>B32401</v>
          </cell>
        </row>
        <row r="74">
          <cell r="C74" t="str">
            <v>B32402</v>
          </cell>
        </row>
        <row r="75">
          <cell r="C75" t="str">
            <v>B32403</v>
          </cell>
        </row>
        <row r="76">
          <cell r="C76" t="str">
            <v>B32404</v>
          </cell>
        </row>
        <row r="77">
          <cell r="C77" t="str">
            <v>B32405</v>
          </cell>
        </row>
        <row r="78">
          <cell r="C78" t="str">
            <v>B32406</v>
          </cell>
        </row>
        <row r="79">
          <cell r="C79" t="str">
            <v>B32407</v>
          </cell>
        </row>
        <row r="80">
          <cell r="C80" t="str">
            <v>B32408</v>
          </cell>
        </row>
        <row r="81">
          <cell r="C81" t="str">
            <v>B32409</v>
          </cell>
        </row>
        <row r="82">
          <cell r="C82" t="str">
            <v>B32410</v>
          </cell>
        </row>
        <row r="83">
          <cell r="C83" t="str">
            <v>B32411</v>
          </cell>
        </row>
        <row r="84">
          <cell r="C84" t="str">
            <v>B32412</v>
          </cell>
        </row>
        <row r="85">
          <cell r="C85" t="str">
            <v>B32413</v>
          </cell>
        </row>
        <row r="86">
          <cell r="C86" t="str">
            <v>B32414</v>
          </cell>
        </row>
        <row r="87">
          <cell r="C87" t="str">
            <v>B32415</v>
          </cell>
        </row>
        <row r="88">
          <cell r="C88" t="str">
            <v>B32416</v>
          </cell>
        </row>
        <row r="89">
          <cell r="C89" t="str">
            <v>B32417</v>
          </cell>
        </row>
        <row r="90">
          <cell r="C90" t="str">
            <v>B32418</v>
          </cell>
        </row>
        <row r="91">
          <cell r="C91" t="str">
            <v>B32419</v>
          </cell>
        </row>
        <row r="92">
          <cell r="C92" t="str">
            <v>B32420</v>
          </cell>
        </row>
        <row r="93">
          <cell r="C93" t="str">
            <v>B32421</v>
          </cell>
        </row>
        <row r="94">
          <cell r="C94" t="str">
            <v>B32422</v>
          </cell>
        </row>
        <row r="95">
          <cell r="C95" t="str">
            <v>B32423</v>
          </cell>
        </row>
        <row r="96">
          <cell r="C96" t="str">
            <v>B32424</v>
          </cell>
        </row>
        <row r="97">
          <cell r="C97" t="str">
            <v>B32425</v>
          </cell>
        </row>
        <row r="98">
          <cell r="C98" t="str">
            <v>B32426</v>
          </cell>
        </row>
        <row r="99">
          <cell r="C99" t="str">
            <v>B32427</v>
          </cell>
        </row>
        <row r="100">
          <cell r="C100" t="str">
            <v>B32428</v>
          </cell>
        </row>
        <row r="101">
          <cell r="C101" t="str">
            <v>B32429</v>
          </cell>
        </row>
        <row r="102">
          <cell r="C102" t="str">
            <v>B32430</v>
          </cell>
        </row>
        <row r="103">
          <cell r="C103" t="str">
            <v>B32431</v>
          </cell>
        </row>
        <row r="104">
          <cell r="C104" t="str">
            <v>B32432</v>
          </cell>
        </row>
        <row r="105">
          <cell r="C105" t="str">
            <v>B32433</v>
          </cell>
        </row>
        <row r="106">
          <cell r="C106" t="str">
            <v>B32434</v>
          </cell>
        </row>
        <row r="107">
          <cell r="C107" t="str">
            <v>B32435</v>
          </cell>
        </row>
        <row r="108">
          <cell r="C108" t="str">
            <v>B32436</v>
          </cell>
        </row>
        <row r="109">
          <cell r="C109" t="str">
            <v>B32437</v>
          </cell>
        </row>
        <row r="110">
          <cell r="C110" t="str">
            <v>B32438</v>
          </cell>
        </row>
        <row r="111">
          <cell r="C111" t="str">
            <v>B32439</v>
          </cell>
        </row>
        <row r="112">
          <cell r="C112" t="str">
            <v>B32440</v>
          </cell>
        </row>
        <row r="113">
          <cell r="C113" t="str">
            <v>B32441</v>
          </cell>
        </row>
        <row r="114">
          <cell r="C114" t="str">
            <v>B32442</v>
          </cell>
        </row>
        <row r="115">
          <cell r="C115" t="str">
            <v>B32443</v>
          </cell>
        </row>
        <row r="116">
          <cell r="C116" t="str">
            <v>B32444</v>
          </cell>
        </row>
        <row r="117">
          <cell r="C117" t="str">
            <v>B32445</v>
          </cell>
        </row>
        <row r="118">
          <cell r="C118" t="str">
            <v>B32446</v>
          </cell>
        </row>
        <row r="119">
          <cell r="C119" t="str">
            <v>B32447</v>
          </cell>
        </row>
        <row r="120">
          <cell r="C120" t="str">
            <v>B32448</v>
          </cell>
        </row>
        <row r="121">
          <cell r="C121" t="str">
            <v>B32449</v>
          </cell>
        </row>
        <row r="122">
          <cell r="C122" t="str">
            <v>B32450</v>
          </cell>
        </row>
        <row r="123">
          <cell r="C123" t="str">
            <v>B32451</v>
          </cell>
        </row>
        <row r="124">
          <cell r="C124" t="str">
            <v>B32452</v>
          </cell>
        </row>
        <row r="125">
          <cell r="C125" t="str">
            <v>B32453</v>
          </cell>
        </row>
        <row r="126">
          <cell r="C126" t="str">
            <v>B32454</v>
          </cell>
        </row>
        <row r="127">
          <cell r="C127" t="str">
            <v>B32455</v>
          </cell>
        </row>
        <row r="128">
          <cell r="C128" t="str">
            <v>B32456</v>
          </cell>
        </row>
        <row r="129">
          <cell r="C129" t="str">
            <v>B32457</v>
          </cell>
        </row>
        <row r="130">
          <cell r="C130" t="str">
            <v>B32458</v>
          </cell>
        </row>
        <row r="131">
          <cell r="C131" t="str">
            <v>B32459</v>
          </cell>
        </row>
        <row r="132">
          <cell r="C132" t="str">
            <v>B32460</v>
          </cell>
        </row>
        <row r="134">
          <cell r="C134" t="str">
            <v>CALC</v>
          </cell>
        </row>
        <row r="135">
          <cell r="C135" t="str">
            <v>CALC</v>
          </cell>
        </row>
        <row r="136">
          <cell r="C136" t="str">
            <v>CALC</v>
          </cell>
        </row>
        <row r="137">
          <cell r="C137" t="str">
            <v>CALC</v>
          </cell>
        </row>
        <row r="138">
          <cell r="C138" t="str">
            <v>CALC</v>
          </cell>
        </row>
        <row r="139">
          <cell r="C139" t="str">
            <v>CALC</v>
          </cell>
        </row>
        <row r="140">
          <cell r="C140" t="str">
            <v>CALC</v>
          </cell>
        </row>
        <row r="141">
          <cell r="C141" t="str">
            <v>CALC</v>
          </cell>
        </row>
        <row r="142">
          <cell r="C142" t="str">
            <v>CALC</v>
          </cell>
        </row>
        <row r="143">
          <cell r="C143" t="str">
            <v>CALC</v>
          </cell>
        </row>
        <row r="144">
          <cell r="C144" t="str">
            <v>CALC</v>
          </cell>
        </row>
        <row r="145">
          <cell r="C145" t="str">
            <v>CALC</v>
          </cell>
        </row>
        <row r="146">
          <cell r="C146" t="str">
            <v>B40058</v>
          </cell>
        </row>
        <row r="147">
          <cell r="C147" t="str">
            <v>B40059</v>
          </cell>
        </row>
        <row r="148">
          <cell r="C148" t="str">
            <v>B40060</v>
          </cell>
        </row>
        <row r="149">
          <cell r="C149" t="str">
            <v>B40061</v>
          </cell>
        </row>
        <row r="150">
          <cell r="C150" t="str">
            <v>B40062</v>
          </cell>
        </row>
        <row r="151">
          <cell r="C151" t="str">
            <v>B40063</v>
          </cell>
        </row>
        <row r="152">
          <cell r="C152" t="str">
            <v>B40064</v>
          </cell>
        </row>
        <row r="153">
          <cell r="C153" t="str">
            <v>B40065</v>
          </cell>
        </row>
        <row r="154">
          <cell r="C154" t="str">
            <v>B40066</v>
          </cell>
        </row>
        <row r="155">
          <cell r="C155" t="str">
            <v>B40067</v>
          </cell>
        </row>
        <row r="156">
          <cell r="C156" t="str">
            <v>B40068</v>
          </cell>
        </row>
        <row r="157">
          <cell r="C157" t="str">
            <v>B40069</v>
          </cell>
        </row>
        <row r="158">
          <cell r="C158" t="str">
            <v>B40070</v>
          </cell>
        </row>
        <row r="159">
          <cell r="C159" t="str">
            <v>B40071</v>
          </cell>
        </row>
        <row r="160">
          <cell r="C160" t="str">
            <v>B40072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D00001-001"/>
      <sheetName val="LD00001-002-A"/>
      <sheetName val="BV receipt"/>
      <sheetName val="2nd Ship 2011 (1st LD)"/>
      <sheetName val="Ros-ram-LD00001-001"/>
      <sheetName val="Ros-ram-LD00001-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3">
          <cell r="D23" t="str">
            <v>Fractional Mass %</v>
          </cell>
        </row>
        <row r="24">
          <cell r="D24">
            <v>31.9</v>
          </cell>
        </row>
        <row r="25">
          <cell r="D25">
            <v>8</v>
          </cell>
        </row>
        <row r="26">
          <cell r="D26">
            <v>8.3000000000000007</v>
          </cell>
        </row>
        <row r="27">
          <cell r="D27">
            <v>7.3</v>
          </cell>
        </row>
        <row r="28">
          <cell r="D28">
            <v>7</v>
          </cell>
        </row>
        <row r="29">
          <cell r="D29">
            <v>5.0999999999999996</v>
          </cell>
        </row>
        <row r="30">
          <cell r="D30">
            <v>4.8</v>
          </cell>
        </row>
        <row r="31">
          <cell r="D31">
            <v>6.4</v>
          </cell>
        </row>
        <row r="32">
          <cell r="D32">
            <v>4.5</v>
          </cell>
        </row>
        <row r="33">
          <cell r="D33">
            <v>16.7</v>
          </cell>
        </row>
        <row r="35">
          <cell r="D35">
            <v>100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tection"/>
      <sheetName val="Change Control"/>
      <sheetName val="Internal Codes"/>
      <sheetName val="Clean Up Instructions"/>
      <sheetName val="Notes"/>
      <sheetName val="Decimal Place Validation"/>
      <sheetName val="Data"/>
      <sheetName val="Raw Ply Prep "/>
      <sheetName val="Raw Ply COC "/>
      <sheetName val="Raw Ply Lab "/>
      <sheetName val="F-Sink Comp (RAW Coal)"/>
      <sheetName val="F-Sink Prep "/>
      <sheetName val="F-Sink Lab"/>
      <sheetName val="F-Sink Cum CSN Comp"/>
      <sheetName val="Coking comp - 1 FS"/>
      <sheetName val="COKING COMP LAB PW"/>
      <sheetName val="Thermal comp - 1 FS"/>
      <sheetName val="Coking Comp - 12 FS"/>
      <sheetName val="THERMAL COMP PW"/>
      <sheetName val="Coking Comp - 36 FS "/>
      <sheetName val="Wash36 - Coking Comp"/>
      <sheetName val="Thermal Comp - 12 FS"/>
      <sheetName val="THERMAL COMP PW(2) don't use"/>
      <sheetName val="Cover Page"/>
      <sheetName val="noels comp"/>
      <sheetName val="S1.45-F1.50 - 36 FS"/>
      <sheetName val="CumF1.50 - 36 FS"/>
      <sheetName val="Front Page"/>
      <sheetName val="Procedures"/>
      <sheetName val="Raw Ply Analysis"/>
      <sheetName val="Raw Coal Analysis "/>
      <sheetName val="Wash 1 don't use"/>
      <sheetName val="Washability 12"/>
      <sheetName val="Washability 36"/>
      <sheetName val="Clean Coal Comps"/>
      <sheetName val="Standards"/>
      <sheetName val="Petro Table - Appendix"/>
      <sheetName val="Print Macros"/>
      <sheetName val="Washability (2)"/>
      <sheetName val="Washability (3)"/>
      <sheetName val="Washability (4)"/>
      <sheetName val="Washability (5)"/>
      <sheetName val="Washability (6)"/>
      <sheetName val="Sheet1"/>
      <sheetName val="Seylers Chart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  <row r="218">
          <cell r="C218" t="str">
            <v/>
          </cell>
          <cell r="E218" t="str">
            <v>Composite Identification</v>
          </cell>
          <cell r="F218" t="str">
            <v xml:space="preserve"> Ply Description</v>
          </cell>
          <cell r="G218" t="str">
            <v>BV Sample Number</v>
          </cell>
          <cell r="H218" t="str">
            <v>Depth From</v>
          </cell>
          <cell r="I218" t="str">
            <v>Depth To</v>
          </cell>
          <cell r="J218" t="str">
            <v>Recovered Thickness</v>
          </cell>
          <cell r="K218" t="str">
            <v>Interval</v>
          </cell>
          <cell r="L218" t="str">
            <v>Sample Type</v>
          </cell>
          <cell r="M218" t="str">
            <v>Initial Mass Tested</v>
          </cell>
          <cell r="O218" t="str">
            <v>Final Mass</v>
          </cell>
          <cell r="P218" t="str">
            <v>Loss / Gain</v>
          </cell>
          <cell r="Q218" t="str">
            <v>Raw Coal Relative Density (calculated)</v>
          </cell>
          <cell r="R218" t="str">
            <v>Raw Coal Moisture (calculated)</v>
          </cell>
          <cell r="S218" t="str">
            <v>Raw Coal Ash (calculated)</v>
          </cell>
          <cell r="T218" t="str">
            <v>Moisture (analysed)</v>
          </cell>
          <cell r="U218" t="str">
            <v>Ash (analysed)</v>
          </cell>
        </row>
        <row r="219">
          <cell r="C219" t="str">
            <v>RC</v>
          </cell>
          <cell r="H219" t="str">
            <v>(m)</v>
          </cell>
          <cell r="I219" t="str">
            <v>(m)</v>
          </cell>
          <cell r="J219" t="str">
            <v>(m)</v>
          </cell>
          <cell r="K219" t="str">
            <v>(m)</v>
          </cell>
          <cell r="M219" t="str">
            <v>(kg)</v>
          </cell>
          <cell r="O219" t="str">
            <v>(kg)</v>
          </cell>
          <cell r="P219" t="str">
            <v>(%)</v>
          </cell>
          <cell r="Q219" t="str">
            <v>(%ad)</v>
          </cell>
          <cell r="R219" t="str">
            <v>(%ad)</v>
          </cell>
          <cell r="S219" t="str">
            <v>(%ad)</v>
          </cell>
          <cell r="T219" t="str">
            <v>(%ad)</v>
          </cell>
          <cell r="U219" t="str">
            <v>(%ad)</v>
          </cell>
        </row>
        <row r="220">
          <cell r="C220" t="str">
            <v>0RC13</v>
          </cell>
          <cell r="E220" t="str">
            <v/>
          </cell>
          <cell r="F220" t="str">
            <v/>
          </cell>
          <cell r="G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e">
            <v>#N/A</v>
          </cell>
          <cell r="O220">
            <v>0</v>
          </cell>
          <cell r="P220" t="e">
            <v>#N/A</v>
          </cell>
          <cell r="Q220" t="str">
            <v/>
          </cell>
          <cell r="R220" t="str">
            <v/>
          </cell>
          <cell r="S220" t="str">
            <v/>
          </cell>
          <cell r="T220" t="str">
            <v/>
          </cell>
          <cell r="U220" t="str">
            <v/>
          </cell>
        </row>
        <row r="222">
          <cell r="E222" t="str">
            <v>Density Fraction</v>
          </cell>
          <cell r="G222" t="str">
            <v>Fractional Analyses</v>
          </cell>
          <cell r="N222" t="str">
            <v>Cumulative Analyses</v>
          </cell>
        </row>
        <row r="223">
          <cell r="G223" t="str">
            <v xml:space="preserve">Mass </v>
          </cell>
          <cell r="H223" t="str">
            <v>Moisture</v>
          </cell>
          <cell r="I223" t="str">
            <v xml:space="preserve">Ash </v>
          </cell>
          <cell r="J223" t="str">
            <v xml:space="preserve">Volatile Matter </v>
          </cell>
          <cell r="K223" t="str">
            <v>Total Sulfur</v>
          </cell>
          <cell r="L223" t="str">
            <v>Calorific Value</v>
          </cell>
          <cell r="M223" t="str">
            <v>Phosphorus In Coal</v>
          </cell>
          <cell r="N223" t="str">
            <v xml:space="preserve">Mass </v>
          </cell>
          <cell r="O223" t="str">
            <v>Moisture</v>
          </cell>
          <cell r="P223" t="str">
            <v>Ash</v>
          </cell>
          <cell r="Q223" t="str">
            <v>Volatile Matter</v>
          </cell>
          <cell r="R223" t="str">
            <v>Total Sulfur</v>
          </cell>
          <cell r="S223" t="str">
            <v>Calorific Value</v>
          </cell>
          <cell r="T223" t="str">
            <v>Phosphorus In Coal</v>
          </cell>
          <cell r="U223" t="str">
            <v>Crucible Swelling Number</v>
          </cell>
        </row>
        <row r="224">
          <cell r="E224" t="str">
            <v>Sinks</v>
          </cell>
          <cell r="F224" t="str">
            <v>Floats</v>
          </cell>
          <cell r="G224" t="str">
            <v>(%)</v>
          </cell>
          <cell r="H224" t="str">
            <v>(%ad)</v>
          </cell>
          <cell r="I224" t="str">
            <v>(%ad)</v>
          </cell>
          <cell r="J224" t="str">
            <v>(%ad)</v>
          </cell>
          <cell r="K224" t="str">
            <v>(%ad)</v>
          </cell>
          <cell r="L224" t="str">
            <v>(MJ/kg ad)</v>
          </cell>
          <cell r="M224" t="str">
            <v>(%db)</v>
          </cell>
          <cell r="N224" t="str">
            <v>(%)</v>
          </cell>
          <cell r="O224" t="str">
            <v>(%ad)</v>
          </cell>
          <cell r="P224" t="str">
            <v>(%ad)</v>
          </cell>
          <cell r="Q224" t="str">
            <v>(%ad)</v>
          </cell>
          <cell r="R224" t="str">
            <v>(%ad)</v>
          </cell>
          <cell r="S224" t="str">
            <v>(MJ/kg ad)</v>
          </cell>
          <cell r="T224" t="str">
            <v>(%db)</v>
          </cell>
        </row>
        <row r="225">
          <cell r="C225" t="str">
            <v>FS</v>
          </cell>
        </row>
        <row r="226">
          <cell r="C226" t="str">
            <v>0FS13F</v>
          </cell>
          <cell r="F226" t="str">
            <v/>
          </cell>
          <cell r="G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  <cell r="N226" t="str">
            <v/>
          </cell>
          <cell r="O226" t="str">
            <v/>
          </cell>
          <cell r="P226" t="str">
            <v/>
          </cell>
          <cell r="Q226" t="str">
            <v/>
          </cell>
          <cell r="R226" t="str">
            <v/>
          </cell>
          <cell r="S226" t="str">
            <v/>
          </cell>
          <cell r="T226" t="str">
            <v/>
          </cell>
          <cell r="U226" t="str">
            <v/>
          </cell>
        </row>
        <row r="227">
          <cell r="C227" t="str">
            <v>0FS13F</v>
          </cell>
          <cell r="E227" t="str">
            <v/>
          </cell>
          <cell r="F227" t="str">
            <v/>
          </cell>
          <cell r="G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  <cell r="N227" t="str">
            <v/>
          </cell>
          <cell r="O227" t="str">
            <v/>
          </cell>
          <cell r="P227" t="str">
            <v/>
          </cell>
          <cell r="Q227" t="str">
            <v/>
          </cell>
          <cell r="R227" t="str">
            <v/>
          </cell>
          <cell r="S227" t="str">
            <v/>
          </cell>
          <cell r="T227" t="str">
            <v/>
          </cell>
          <cell r="U227" t="str">
            <v/>
          </cell>
        </row>
        <row r="228">
          <cell r="C228" t="str">
            <v>0FS13F1</v>
          </cell>
          <cell r="E228" t="str">
            <v/>
          </cell>
          <cell r="F228" t="str">
            <v/>
          </cell>
          <cell r="G228" t="e">
            <v>#DIV/0!</v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  <cell r="N228" t="e">
            <v>#DIV/0!</v>
          </cell>
          <cell r="O228" t="str">
            <v/>
          </cell>
          <cell r="P228" t="str">
            <v/>
          </cell>
          <cell r="Q228" t="str">
            <v/>
          </cell>
          <cell r="R228" t="str">
            <v/>
          </cell>
          <cell r="S228" t="str">
            <v/>
          </cell>
          <cell r="T228" t="str">
            <v/>
          </cell>
          <cell r="U228" t="str">
            <v/>
          </cell>
        </row>
        <row r="229">
          <cell r="C229" t="str">
            <v>0FS13F2</v>
          </cell>
          <cell r="E229" t="str">
            <v/>
          </cell>
          <cell r="F229" t="str">
            <v/>
          </cell>
          <cell r="G229" t="e">
            <v>#DIV/0!</v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  <cell r="N229" t="e">
            <v>#DIV/0!</v>
          </cell>
          <cell r="O229" t="str">
            <v/>
          </cell>
          <cell r="P229" t="str">
            <v/>
          </cell>
          <cell r="Q229" t="str">
            <v/>
          </cell>
          <cell r="R229" t="str">
            <v/>
          </cell>
          <cell r="S229" t="str">
            <v/>
          </cell>
          <cell r="T229" t="str">
            <v/>
          </cell>
          <cell r="U229" t="str">
            <v/>
          </cell>
        </row>
        <row r="230">
          <cell r="C230" t="str">
            <v>0FS13F3</v>
          </cell>
          <cell r="E230" t="str">
            <v/>
          </cell>
          <cell r="F230" t="str">
            <v/>
          </cell>
          <cell r="G230" t="e">
            <v>#DIV/0!</v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  <cell r="N230" t="e">
            <v>#DIV/0!</v>
          </cell>
          <cell r="O230" t="str">
            <v/>
          </cell>
          <cell r="P230" t="str">
            <v/>
          </cell>
          <cell r="Q230" t="str">
            <v/>
          </cell>
          <cell r="R230" t="str">
            <v/>
          </cell>
          <cell r="S230" t="str">
            <v/>
          </cell>
          <cell r="T230" t="str">
            <v/>
          </cell>
          <cell r="U230" t="str">
            <v/>
          </cell>
        </row>
        <row r="231">
          <cell r="C231" t="str">
            <v>0FS13F4</v>
          </cell>
          <cell r="E231" t="str">
            <v/>
          </cell>
          <cell r="F231" t="str">
            <v/>
          </cell>
          <cell r="G231" t="e">
            <v>#DIV/0!</v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  <cell r="N231" t="e">
            <v>#DIV/0!</v>
          </cell>
          <cell r="O231" t="str">
            <v/>
          </cell>
          <cell r="P231" t="str">
            <v/>
          </cell>
          <cell r="Q231" t="str">
            <v/>
          </cell>
          <cell r="R231" t="str">
            <v/>
          </cell>
          <cell r="S231" t="str">
            <v/>
          </cell>
          <cell r="T231" t="str">
            <v/>
          </cell>
          <cell r="U231" t="str">
            <v/>
          </cell>
        </row>
        <row r="232">
          <cell r="C232" t="str">
            <v>0FS13F5</v>
          </cell>
          <cell r="E232" t="str">
            <v/>
          </cell>
          <cell r="F232" t="str">
            <v/>
          </cell>
          <cell r="G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  <cell r="N232" t="str">
            <v/>
          </cell>
          <cell r="O232" t="str">
            <v/>
          </cell>
          <cell r="P232" t="str">
            <v/>
          </cell>
          <cell r="Q232" t="str">
            <v/>
          </cell>
          <cell r="R232" t="str">
            <v/>
          </cell>
          <cell r="S232" t="str">
            <v/>
          </cell>
          <cell r="T232" t="str">
            <v/>
          </cell>
          <cell r="U232" t="str">
            <v/>
          </cell>
        </row>
        <row r="233">
          <cell r="C233" t="str">
            <v>0FS13F6</v>
          </cell>
          <cell r="E233" t="str">
            <v/>
          </cell>
          <cell r="F233" t="str">
            <v/>
          </cell>
          <cell r="G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  <cell r="N233" t="str">
            <v/>
          </cell>
          <cell r="O233" t="str">
            <v/>
          </cell>
          <cell r="P233" t="str">
            <v/>
          </cell>
          <cell r="Q233" t="str">
            <v/>
          </cell>
          <cell r="R233" t="str">
            <v/>
          </cell>
          <cell r="S233" t="str">
            <v/>
          </cell>
          <cell r="T233" t="str">
            <v/>
          </cell>
          <cell r="U233" t="str">
            <v/>
          </cell>
        </row>
        <row r="235">
          <cell r="E235" t="str">
            <v>Composite Identification</v>
          </cell>
          <cell r="F235" t="str">
            <v xml:space="preserve"> Ply Description</v>
          </cell>
          <cell r="G235" t="str">
            <v>BV Sample Number</v>
          </cell>
          <cell r="H235" t="str">
            <v>Depth From</v>
          </cell>
          <cell r="I235" t="str">
            <v>Depth To</v>
          </cell>
          <cell r="J235" t="str">
            <v>Recovered Thickness</v>
          </cell>
          <cell r="K235" t="str">
            <v>Interval</v>
          </cell>
          <cell r="L235" t="str">
            <v>Sample Type</v>
          </cell>
          <cell r="M235" t="str">
            <v>Initial Mass Tested</v>
          </cell>
          <cell r="O235" t="str">
            <v>Final Mass</v>
          </cell>
          <cell r="P235" t="str">
            <v>Loss / Gain</v>
          </cell>
          <cell r="Q235" t="str">
            <v>Raw Coal Relative Density (calculated)</v>
          </cell>
          <cell r="R235" t="str">
            <v>Raw Coal Moisture (calculated)</v>
          </cell>
          <cell r="S235" t="str">
            <v>Raw Coal Ash (calculated)</v>
          </cell>
          <cell r="T235" t="str">
            <v>Moisture (analysed)</v>
          </cell>
          <cell r="U235" t="str">
            <v>Ash (analysed)</v>
          </cell>
        </row>
        <row r="236">
          <cell r="C236" t="str">
            <v>RC</v>
          </cell>
          <cell r="H236" t="str">
            <v>(m)</v>
          </cell>
          <cell r="I236" t="str">
            <v>(m)</v>
          </cell>
          <cell r="J236" t="str">
            <v>(m)</v>
          </cell>
          <cell r="K236" t="str">
            <v>(m)</v>
          </cell>
          <cell r="M236" t="str">
            <v>(kg)</v>
          </cell>
          <cell r="O236" t="str">
            <v>(kg)</v>
          </cell>
          <cell r="P236" t="str">
            <v>(%)</v>
          </cell>
          <cell r="Q236" t="str">
            <v>(%ad)</v>
          </cell>
          <cell r="R236" t="str">
            <v>(%ad)</v>
          </cell>
          <cell r="S236" t="str">
            <v>(%ad)</v>
          </cell>
          <cell r="T236" t="str">
            <v>(%ad)</v>
          </cell>
          <cell r="U236" t="str">
            <v>(%ad)</v>
          </cell>
        </row>
        <row r="237">
          <cell r="C237" t="str">
            <v>0RC14</v>
          </cell>
          <cell r="E237" t="str">
            <v/>
          </cell>
          <cell r="F237" t="str">
            <v/>
          </cell>
          <cell r="G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e">
            <v>#N/A</v>
          </cell>
          <cell r="O237">
            <v>1E-3</v>
          </cell>
          <cell r="P237" t="e">
            <v>#N/A</v>
          </cell>
          <cell r="Q237" t="str">
            <v/>
          </cell>
          <cell r="R237" t="str">
            <v/>
          </cell>
          <cell r="S237" t="str">
            <v/>
          </cell>
          <cell r="T237" t="str">
            <v/>
          </cell>
          <cell r="U237" t="str">
            <v/>
          </cell>
        </row>
        <row r="239">
          <cell r="E239" t="str">
            <v>Density Fraction</v>
          </cell>
          <cell r="G239" t="str">
            <v>Fractional Analyses</v>
          </cell>
          <cell r="N239" t="str">
            <v>Cumulative Analyses</v>
          </cell>
        </row>
        <row r="240">
          <cell r="G240" t="str">
            <v xml:space="preserve">Mass </v>
          </cell>
          <cell r="H240" t="str">
            <v>Moisture</v>
          </cell>
          <cell r="I240" t="str">
            <v xml:space="preserve">Ash </v>
          </cell>
          <cell r="J240" t="str">
            <v xml:space="preserve">Volatile Matter </v>
          </cell>
          <cell r="K240" t="str">
            <v>Total Sulfur</v>
          </cell>
          <cell r="L240" t="str">
            <v>Calorific Value</v>
          </cell>
          <cell r="M240" t="str">
            <v>Phosphorus In Coal</v>
          </cell>
          <cell r="N240" t="str">
            <v xml:space="preserve">Mass </v>
          </cell>
          <cell r="O240" t="str">
            <v>Moisture</v>
          </cell>
          <cell r="P240" t="str">
            <v>Ash</v>
          </cell>
          <cell r="Q240" t="str">
            <v>Volatile Matter</v>
          </cell>
          <cell r="R240" t="str">
            <v>Total Sulfur</v>
          </cell>
          <cell r="S240" t="str">
            <v>Calorific Value</v>
          </cell>
          <cell r="T240" t="str">
            <v>Phosphorus In Coal</v>
          </cell>
          <cell r="U240" t="str">
            <v>Crucible Swelling Number</v>
          </cell>
        </row>
        <row r="241">
          <cell r="E241" t="str">
            <v>Sinks</v>
          </cell>
          <cell r="F241" t="str">
            <v>Floats</v>
          </cell>
          <cell r="G241" t="str">
            <v>(%)</v>
          </cell>
          <cell r="H241" t="str">
            <v>(%ad)</v>
          </cell>
          <cell r="I241" t="str">
            <v>(%ad)</v>
          </cell>
          <cell r="J241" t="str">
            <v>(%ad)</v>
          </cell>
          <cell r="K241" t="str">
            <v>(%ad)</v>
          </cell>
          <cell r="L241" t="str">
            <v>(MJ/kg ad)</v>
          </cell>
          <cell r="M241" t="str">
            <v>(%db)</v>
          </cell>
          <cell r="N241" t="str">
            <v>(%)</v>
          </cell>
          <cell r="O241" t="str">
            <v>(%ad)</v>
          </cell>
          <cell r="P241" t="str">
            <v>(%ad)</v>
          </cell>
          <cell r="Q241" t="str">
            <v>(%ad)</v>
          </cell>
          <cell r="R241" t="str">
            <v>(%ad)</v>
          </cell>
          <cell r="S241" t="str">
            <v>(MJ/kg ad)</v>
          </cell>
          <cell r="T241" t="str">
            <v>(%db)</v>
          </cell>
        </row>
        <row r="242">
          <cell r="C242" t="str">
            <v>FS</v>
          </cell>
        </row>
        <row r="243">
          <cell r="C243" t="str">
            <v>0FS14F</v>
          </cell>
          <cell r="F243" t="str">
            <v/>
          </cell>
          <cell r="G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  <cell r="N243" t="str">
            <v/>
          </cell>
          <cell r="O243" t="str">
            <v/>
          </cell>
          <cell r="P243" t="str">
            <v/>
          </cell>
          <cell r="Q243" t="str">
            <v/>
          </cell>
          <cell r="R243" t="str">
            <v/>
          </cell>
          <cell r="S243" t="str">
            <v/>
          </cell>
          <cell r="T243" t="str">
            <v/>
          </cell>
          <cell r="U243" t="str">
            <v/>
          </cell>
        </row>
        <row r="244">
          <cell r="C244" t="str">
            <v>0FS14F</v>
          </cell>
          <cell r="E244" t="str">
            <v/>
          </cell>
          <cell r="F244" t="str">
            <v/>
          </cell>
          <cell r="G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  <cell r="N244" t="str">
            <v/>
          </cell>
          <cell r="O244" t="str">
            <v/>
          </cell>
          <cell r="P244" t="str">
            <v/>
          </cell>
          <cell r="Q244" t="str">
            <v/>
          </cell>
          <cell r="R244" t="str">
            <v/>
          </cell>
          <cell r="S244" t="str">
            <v/>
          </cell>
          <cell r="T244" t="str">
            <v/>
          </cell>
          <cell r="U244" t="str">
            <v/>
          </cell>
        </row>
        <row r="245">
          <cell r="C245" t="str">
            <v>0FS14F1</v>
          </cell>
          <cell r="E245" t="str">
            <v/>
          </cell>
          <cell r="F245" t="str">
            <v/>
          </cell>
          <cell r="G245">
            <v>100</v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  <cell r="N245">
            <v>100</v>
          </cell>
          <cell r="O245" t="str">
            <v/>
          </cell>
          <cell r="P245" t="str">
            <v/>
          </cell>
          <cell r="Q245" t="str">
            <v/>
          </cell>
          <cell r="R245" t="str">
            <v/>
          </cell>
          <cell r="S245" t="str">
            <v/>
          </cell>
          <cell r="T245" t="str">
            <v/>
          </cell>
          <cell r="U245" t="str">
            <v/>
          </cell>
        </row>
        <row r="246">
          <cell r="C246" t="str">
            <v>0FS14F2</v>
          </cell>
          <cell r="E246" t="str">
            <v/>
          </cell>
          <cell r="F246" t="str">
            <v/>
          </cell>
          <cell r="G246">
            <v>0</v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  <cell r="N246">
            <v>100</v>
          </cell>
          <cell r="O246" t="str">
            <v/>
          </cell>
          <cell r="P246" t="str">
            <v/>
          </cell>
          <cell r="Q246" t="str">
            <v/>
          </cell>
          <cell r="R246" t="str">
            <v/>
          </cell>
          <cell r="S246" t="str">
            <v/>
          </cell>
          <cell r="T246" t="str">
            <v/>
          </cell>
          <cell r="U246" t="str">
            <v/>
          </cell>
        </row>
        <row r="247">
          <cell r="C247" t="str">
            <v>0FS14F3</v>
          </cell>
          <cell r="E247" t="str">
            <v/>
          </cell>
          <cell r="F247" t="str">
            <v/>
          </cell>
          <cell r="G247">
            <v>0</v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  <cell r="N247">
            <v>100</v>
          </cell>
          <cell r="O247" t="str">
            <v/>
          </cell>
          <cell r="P247" t="str">
            <v/>
          </cell>
          <cell r="Q247" t="str">
            <v/>
          </cell>
          <cell r="R247" t="str">
            <v/>
          </cell>
          <cell r="S247" t="str">
            <v/>
          </cell>
          <cell r="T247" t="str">
            <v/>
          </cell>
          <cell r="U247" t="str">
            <v/>
          </cell>
        </row>
        <row r="248">
          <cell r="C248" t="str">
            <v>0FS14F4</v>
          </cell>
          <cell r="E248" t="str">
            <v/>
          </cell>
          <cell r="F248" t="str">
            <v/>
          </cell>
          <cell r="G248">
            <v>0</v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  <cell r="N248">
            <v>100</v>
          </cell>
          <cell r="O248" t="str">
            <v/>
          </cell>
          <cell r="P248" t="str">
            <v/>
          </cell>
          <cell r="Q248" t="str">
            <v/>
          </cell>
          <cell r="R248" t="str">
            <v/>
          </cell>
          <cell r="S248" t="str">
            <v/>
          </cell>
          <cell r="T248" t="str">
            <v/>
          </cell>
          <cell r="U248" t="str">
            <v/>
          </cell>
        </row>
        <row r="249">
          <cell r="C249" t="str">
            <v>0FS14F5</v>
          </cell>
          <cell r="E249" t="str">
            <v/>
          </cell>
          <cell r="F249" t="str">
            <v/>
          </cell>
          <cell r="G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  <cell r="N249" t="str">
            <v/>
          </cell>
          <cell r="O249" t="str">
            <v/>
          </cell>
          <cell r="P249" t="str">
            <v/>
          </cell>
          <cell r="Q249" t="str">
            <v/>
          </cell>
          <cell r="R249" t="str">
            <v/>
          </cell>
          <cell r="S249" t="str">
            <v/>
          </cell>
          <cell r="T249" t="str">
            <v/>
          </cell>
          <cell r="U249" t="str">
            <v/>
          </cell>
        </row>
        <row r="250">
          <cell r="C250" t="str">
            <v>0FS14F6</v>
          </cell>
          <cell r="E250" t="str">
            <v/>
          </cell>
          <cell r="F250" t="str">
            <v/>
          </cell>
          <cell r="G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  <cell r="N250" t="str">
            <v/>
          </cell>
          <cell r="O250" t="str">
            <v/>
          </cell>
          <cell r="P250" t="str">
            <v/>
          </cell>
          <cell r="Q250" t="str">
            <v/>
          </cell>
          <cell r="R250" t="str">
            <v/>
          </cell>
          <cell r="S250" t="str">
            <v/>
          </cell>
          <cell r="T250" t="str">
            <v/>
          </cell>
          <cell r="U250" t="str">
            <v/>
          </cell>
        </row>
        <row r="253">
          <cell r="C253" t="str">
            <v/>
          </cell>
          <cell r="E253" t="str">
            <v>Composite Identification</v>
          </cell>
          <cell r="F253" t="str">
            <v xml:space="preserve"> Ply Description</v>
          </cell>
          <cell r="G253" t="str">
            <v>BV Sample Number</v>
          </cell>
          <cell r="H253" t="str">
            <v>Depth From</v>
          </cell>
          <cell r="I253" t="str">
            <v>Depth To</v>
          </cell>
          <cell r="J253" t="str">
            <v>Recovered Thickness</v>
          </cell>
          <cell r="K253" t="str">
            <v>Interval</v>
          </cell>
          <cell r="L253" t="str">
            <v>Sample Type</v>
          </cell>
          <cell r="M253" t="str">
            <v>Initial Mass Tested</v>
          </cell>
          <cell r="O253" t="str">
            <v>Final Mass</v>
          </cell>
          <cell r="P253" t="str">
            <v>Loss / Gain</v>
          </cell>
          <cell r="Q253" t="str">
            <v>Raw Coal Relative Density (calculated)</v>
          </cell>
          <cell r="R253" t="str">
            <v>Raw Coal Moisture (calculated)</v>
          </cell>
          <cell r="S253" t="str">
            <v>Raw Coal Ash (calculated)</v>
          </cell>
          <cell r="T253" t="str">
            <v>Moisture (analysed)</v>
          </cell>
          <cell r="U253" t="str">
            <v>Ash (analysed)</v>
          </cell>
        </row>
        <row r="254">
          <cell r="C254" t="str">
            <v>RC</v>
          </cell>
          <cell r="H254" t="str">
            <v>(m)</v>
          </cell>
          <cell r="I254" t="str">
            <v>(m)</v>
          </cell>
          <cell r="J254" t="str">
            <v>(m)</v>
          </cell>
          <cell r="K254" t="str">
            <v>(m)</v>
          </cell>
          <cell r="M254" t="str">
            <v>(kg)</v>
          </cell>
          <cell r="O254" t="str">
            <v>(kg)</v>
          </cell>
          <cell r="P254" t="str">
            <v>(%)</v>
          </cell>
          <cell r="Q254" t="str">
            <v>(%ad)</v>
          </cell>
          <cell r="R254" t="str">
            <v>(%ad)</v>
          </cell>
          <cell r="S254" t="str">
            <v>(%ad)</v>
          </cell>
          <cell r="T254" t="str">
            <v>(%ad)</v>
          </cell>
          <cell r="U254" t="str">
            <v>(%ad)</v>
          </cell>
        </row>
        <row r="255">
          <cell r="C255" t="str">
            <v>0RC15</v>
          </cell>
          <cell r="E255" t="str">
            <v/>
          </cell>
          <cell r="F255" t="str">
            <v/>
          </cell>
          <cell r="G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e">
            <v>#N/A</v>
          </cell>
          <cell r="O255">
            <v>1E-3</v>
          </cell>
          <cell r="P255" t="e">
            <v>#N/A</v>
          </cell>
          <cell r="Q255" t="str">
            <v/>
          </cell>
          <cell r="R255" t="str">
            <v/>
          </cell>
          <cell r="S255" t="str">
            <v/>
          </cell>
          <cell r="T255" t="str">
            <v/>
          </cell>
          <cell r="U255" t="str">
            <v/>
          </cell>
        </row>
        <row r="257">
          <cell r="E257" t="str">
            <v>Density Fraction</v>
          </cell>
          <cell r="G257" t="str">
            <v>Fractional Analyses</v>
          </cell>
          <cell r="N257" t="str">
            <v>Cumulative Analyses</v>
          </cell>
        </row>
        <row r="258">
          <cell r="G258" t="str">
            <v xml:space="preserve">Mass </v>
          </cell>
          <cell r="H258" t="str">
            <v>Moisture</v>
          </cell>
          <cell r="I258" t="str">
            <v xml:space="preserve">Ash </v>
          </cell>
          <cell r="J258" t="str">
            <v xml:space="preserve">Volatile Matter </v>
          </cell>
          <cell r="K258" t="str">
            <v>Total Sulfur</v>
          </cell>
          <cell r="L258" t="str">
            <v>Calorific Value</v>
          </cell>
          <cell r="M258" t="str">
            <v>Phosphorus In Coal</v>
          </cell>
          <cell r="N258" t="str">
            <v xml:space="preserve">Mass </v>
          </cell>
          <cell r="O258" t="str">
            <v>Moisture</v>
          </cell>
          <cell r="P258" t="str">
            <v>Ash</v>
          </cell>
          <cell r="Q258" t="str">
            <v>Volatile Matter</v>
          </cell>
          <cell r="R258" t="str">
            <v>Total Sulfur</v>
          </cell>
          <cell r="S258" t="str">
            <v>Calorific Value</v>
          </cell>
          <cell r="T258" t="str">
            <v>Phosphorus In Coal</v>
          </cell>
          <cell r="U258" t="str">
            <v>Crucible Swelling Number</v>
          </cell>
        </row>
        <row r="259">
          <cell r="E259" t="str">
            <v>Sinks</v>
          </cell>
          <cell r="F259" t="str">
            <v>Floats</v>
          </cell>
          <cell r="G259" t="str">
            <v>(%)</v>
          </cell>
          <cell r="H259" t="str">
            <v>(%ad)</v>
          </cell>
          <cell r="I259" t="str">
            <v>(%ad)</v>
          </cell>
          <cell r="J259" t="str">
            <v>(%ad)</v>
          </cell>
          <cell r="K259" t="str">
            <v>(%ad)</v>
          </cell>
          <cell r="L259" t="str">
            <v>(MJ/kg ad)</v>
          </cell>
          <cell r="M259" t="str">
            <v>(%db)</v>
          </cell>
          <cell r="N259" t="str">
            <v>(%)</v>
          </cell>
          <cell r="O259" t="str">
            <v>(%ad)</v>
          </cell>
          <cell r="P259" t="str">
            <v>(%ad)</v>
          </cell>
          <cell r="Q259" t="str">
            <v>(%ad)</v>
          </cell>
          <cell r="R259" t="str">
            <v>(%ad)</v>
          </cell>
          <cell r="S259" t="str">
            <v>(MJ/kg ad)</v>
          </cell>
          <cell r="T259" t="str">
            <v>(%db)</v>
          </cell>
        </row>
        <row r="260">
          <cell r="C260" t="str">
            <v>FS</v>
          </cell>
        </row>
        <row r="261">
          <cell r="C261" t="str">
            <v>0FS15F</v>
          </cell>
          <cell r="F261" t="str">
            <v/>
          </cell>
          <cell r="G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  <cell r="N261" t="str">
            <v/>
          </cell>
          <cell r="O261" t="str">
            <v/>
          </cell>
          <cell r="P261" t="str">
            <v/>
          </cell>
          <cell r="Q261" t="str">
            <v/>
          </cell>
          <cell r="R261" t="str">
            <v/>
          </cell>
          <cell r="S261" t="str">
            <v/>
          </cell>
          <cell r="T261" t="str">
            <v/>
          </cell>
          <cell r="U261" t="str">
            <v/>
          </cell>
        </row>
        <row r="262">
          <cell r="C262" t="str">
            <v>0FS15F</v>
          </cell>
          <cell r="E262" t="str">
            <v/>
          </cell>
          <cell r="F262" t="str">
            <v/>
          </cell>
          <cell r="G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  <cell r="N262" t="str">
            <v/>
          </cell>
          <cell r="O262" t="str">
            <v/>
          </cell>
          <cell r="P262" t="str">
            <v/>
          </cell>
          <cell r="Q262" t="str">
            <v/>
          </cell>
          <cell r="R262" t="str">
            <v/>
          </cell>
          <cell r="S262" t="str">
            <v/>
          </cell>
          <cell r="T262" t="str">
            <v/>
          </cell>
          <cell r="U262" t="str">
            <v/>
          </cell>
        </row>
        <row r="263">
          <cell r="C263" t="str">
            <v>0FS15F1</v>
          </cell>
          <cell r="E263" t="str">
            <v/>
          </cell>
          <cell r="F263" t="str">
            <v/>
          </cell>
          <cell r="G263">
            <v>100</v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  <cell r="N263">
            <v>100</v>
          </cell>
          <cell r="O263" t="str">
            <v/>
          </cell>
          <cell r="P263" t="str">
            <v/>
          </cell>
          <cell r="Q263" t="str">
            <v/>
          </cell>
          <cell r="R263" t="str">
            <v/>
          </cell>
          <cell r="S263" t="str">
            <v/>
          </cell>
          <cell r="T263" t="str">
            <v/>
          </cell>
          <cell r="U263" t="str">
            <v/>
          </cell>
        </row>
        <row r="264">
          <cell r="C264" t="str">
            <v>0FS15F2</v>
          </cell>
          <cell r="E264" t="str">
            <v/>
          </cell>
          <cell r="F264" t="str">
            <v/>
          </cell>
          <cell r="G264">
            <v>0</v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  <cell r="N264">
            <v>100</v>
          </cell>
          <cell r="O264" t="str">
            <v/>
          </cell>
          <cell r="P264" t="str">
            <v/>
          </cell>
          <cell r="Q264" t="str">
            <v/>
          </cell>
          <cell r="R264" t="str">
            <v/>
          </cell>
          <cell r="S264" t="str">
            <v/>
          </cell>
          <cell r="T264" t="str">
            <v/>
          </cell>
          <cell r="U264" t="str">
            <v/>
          </cell>
        </row>
        <row r="265">
          <cell r="C265" t="str">
            <v>0FS15F3</v>
          </cell>
          <cell r="E265" t="str">
            <v/>
          </cell>
          <cell r="F265" t="str">
            <v/>
          </cell>
          <cell r="G265">
            <v>0</v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  <cell r="N265">
            <v>100</v>
          </cell>
          <cell r="O265" t="str">
            <v/>
          </cell>
          <cell r="P265" t="str">
            <v/>
          </cell>
          <cell r="Q265" t="str">
            <v/>
          </cell>
          <cell r="R265" t="str">
            <v/>
          </cell>
          <cell r="S265" t="str">
            <v/>
          </cell>
          <cell r="T265" t="str">
            <v/>
          </cell>
          <cell r="U265" t="str">
            <v/>
          </cell>
        </row>
        <row r="266">
          <cell r="C266" t="str">
            <v>0FS15F4</v>
          </cell>
          <cell r="E266" t="str">
            <v/>
          </cell>
          <cell r="F266" t="str">
            <v/>
          </cell>
          <cell r="G266">
            <v>0</v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  <cell r="N266">
            <v>100</v>
          </cell>
          <cell r="O266" t="str">
            <v/>
          </cell>
          <cell r="P266" t="str">
            <v/>
          </cell>
          <cell r="Q266" t="str">
            <v/>
          </cell>
          <cell r="R266" t="str">
            <v/>
          </cell>
          <cell r="S266" t="str">
            <v/>
          </cell>
          <cell r="T266" t="str">
            <v/>
          </cell>
          <cell r="U266" t="str">
            <v/>
          </cell>
        </row>
        <row r="267">
          <cell r="C267" t="str">
            <v>0FS15F5</v>
          </cell>
          <cell r="E267" t="str">
            <v/>
          </cell>
          <cell r="F267" t="str">
            <v/>
          </cell>
          <cell r="G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  <cell r="N267" t="str">
            <v/>
          </cell>
          <cell r="O267" t="str">
            <v/>
          </cell>
          <cell r="P267" t="str">
            <v/>
          </cell>
          <cell r="Q267" t="str">
            <v/>
          </cell>
          <cell r="R267" t="str">
            <v/>
          </cell>
          <cell r="S267" t="str">
            <v/>
          </cell>
          <cell r="T267" t="str">
            <v/>
          </cell>
          <cell r="U267" t="str">
            <v/>
          </cell>
        </row>
        <row r="268">
          <cell r="C268" t="str">
            <v>0FS15F6</v>
          </cell>
          <cell r="E268" t="str">
            <v/>
          </cell>
          <cell r="F268" t="str">
            <v/>
          </cell>
          <cell r="G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  <cell r="N268" t="str">
            <v/>
          </cell>
          <cell r="O268" t="str">
            <v/>
          </cell>
          <cell r="P268" t="str">
            <v/>
          </cell>
          <cell r="Q268" t="str">
            <v/>
          </cell>
          <cell r="R268" t="str">
            <v/>
          </cell>
          <cell r="S268" t="str">
            <v/>
          </cell>
          <cell r="T268" t="str">
            <v/>
          </cell>
          <cell r="U268" t="str">
            <v/>
          </cell>
        </row>
        <row r="270">
          <cell r="E270" t="str">
            <v>Composite Identification</v>
          </cell>
          <cell r="F270" t="str">
            <v xml:space="preserve"> Ply Description</v>
          </cell>
          <cell r="G270" t="str">
            <v>BV Sample Number</v>
          </cell>
          <cell r="H270" t="str">
            <v>Depth From</v>
          </cell>
          <cell r="I270" t="str">
            <v>Depth To</v>
          </cell>
          <cell r="J270" t="str">
            <v>Recovered Thickness</v>
          </cell>
          <cell r="K270" t="str">
            <v>Interval</v>
          </cell>
          <cell r="L270" t="str">
            <v>Sample Type</v>
          </cell>
          <cell r="M270" t="str">
            <v>Initial Mass Tested</v>
          </cell>
          <cell r="O270" t="str">
            <v>Final Mass</v>
          </cell>
          <cell r="P270" t="str">
            <v>Loss / Gain</v>
          </cell>
          <cell r="Q270" t="str">
            <v>Raw Coal Relative Density (calculated)</v>
          </cell>
          <cell r="R270" t="str">
            <v>Raw Coal Moisture (calculated)</v>
          </cell>
          <cell r="S270" t="str">
            <v>Raw Coal Ash (calculated)</v>
          </cell>
          <cell r="T270" t="str">
            <v>Moisture (analysed)</v>
          </cell>
          <cell r="U270" t="str">
            <v>Ash (analysed)</v>
          </cell>
        </row>
        <row r="271">
          <cell r="C271" t="str">
            <v>RC</v>
          </cell>
          <cell r="H271" t="str">
            <v>(m)</v>
          </cell>
          <cell r="I271" t="str">
            <v>(m)</v>
          </cell>
          <cell r="J271" t="str">
            <v>(m)</v>
          </cell>
          <cell r="K271" t="str">
            <v>(m)</v>
          </cell>
          <cell r="M271" t="str">
            <v>(kg)</v>
          </cell>
          <cell r="O271" t="str">
            <v>(kg)</v>
          </cell>
          <cell r="P271" t="str">
            <v>(%)</v>
          </cell>
          <cell r="Q271" t="str">
            <v>(%ad)</v>
          </cell>
          <cell r="R271" t="str">
            <v>(%ad)</v>
          </cell>
          <cell r="S271" t="str">
            <v>(%ad)</v>
          </cell>
          <cell r="T271" t="str">
            <v>(%ad)</v>
          </cell>
          <cell r="U271" t="str">
            <v>(%ad)</v>
          </cell>
        </row>
        <row r="272">
          <cell r="C272" t="str">
            <v>0RC16</v>
          </cell>
          <cell r="E272" t="str">
            <v/>
          </cell>
          <cell r="F272" t="str">
            <v/>
          </cell>
          <cell r="G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e">
            <v>#N/A</v>
          </cell>
          <cell r="O272">
            <v>1E-3</v>
          </cell>
          <cell r="P272" t="e">
            <v>#N/A</v>
          </cell>
          <cell r="Q272" t="str">
            <v/>
          </cell>
          <cell r="R272" t="str">
            <v/>
          </cell>
          <cell r="S272" t="str">
            <v/>
          </cell>
          <cell r="T272" t="str">
            <v/>
          </cell>
          <cell r="U272" t="str">
            <v/>
          </cell>
        </row>
        <row r="274">
          <cell r="E274" t="str">
            <v>Density Fraction</v>
          </cell>
          <cell r="G274" t="str">
            <v>Fractional Analyses</v>
          </cell>
          <cell r="N274" t="str">
            <v>Cumulative Analyses</v>
          </cell>
        </row>
        <row r="275">
          <cell r="G275" t="str">
            <v xml:space="preserve">Mass </v>
          </cell>
          <cell r="H275" t="str">
            <v>Moisture</v>
          </cell>
          <cell r="I275" t="str">
            <v xml:space="preserve">Ash </v>
          </cell>
          <cell r="J275" t="str">
            <v xml:space="preserve">Volatile Matter </v>
          </cell>
          <cell r="K275" t="str">
            <v>Total Sulfur</v>
          </cell>
          <cell r="L275" t="str">
            <v>Calorific Value</v>
          </cell>
          <cell r="M275" t="str">
            <v>Phosphorus In Coal</v>
          </cell>
          <cell r="N275" t="str">
            <v xml:space="preserve">Mass </v>
          </cell>
          <cell r="O275" t="str">
            <v>Moisture</v>
          </cell>
          <cell r="P275" t="str">
            <v>Ash</v>
          </cell>
          <cell r="Q275" t="str">
            <v>Volatile Matter</v>
          </cell>
          <cell r="R275" t="str">
            <v>Total Sulfur</v>
          </cell>
          <cell r="S275" t="str">
            <v>Calorific Value</v>
          </cell>
          <cell r="T275" t="str">
            <v>Phosphorus In Coal</v>
          </cell>
          <cell r="U275" t="str">
            <v>Crucible Swelling Number</v>
          </cell>
        </row>
        <row r="276">
          <cell r="E276" t="str">
            <v>Sinks</v>
          </cell>
          <cell r="F276" t="str">
            <v>Floats</v>
          </cell>
          <cell r="G276" t="str">
            <v>(%)</v>
          </cell>
          <cell r="H276" t="str">
            <v>(%ad)</v>
          </cell>
          <cell r="I276" t="str">
            <v>(%ad)</v>
          </cell>
          <cell r="J276" t="str">
            <v>(%ad)</v>
          </cell>
          <cell r="K276" t="str">
            <v>(%ad)</v>
          </cell>
          <cell r="L276" t="str">
            <v>(MJ/kg ad)</v>
          </cell>
          <cell r="M276" t="str">
            <v>(%db)</v>
          </cell>
          <cell r="N276" t="str">
            <v>(%)</v>
          </cell>
          <cell r="O276" t="str">
            <v>(%ad)</v>
          </cell>
          <cell r="P276" t="str">
            <v>(%ad)</v>
          </cell>
          <cell r="Q276" t="str">
            <v>(%ad)</v>
          </cell>
          <cell r="R276" t="str">
            <v>(%ad)</v>
          </cell>
          <cell r="S276" t="str">
            <v>(MJ/kg ad)</v>
          </cell>
          <cell r="T276" t="str">
            <v>(%db)</v>
          </cell>
        </row>
        <row r="277">
          <cell r="C277" t="str">
            <v>FS</v>
          </cell>
        </row>
        <row r="278">
          <cell r="C278" t="str">
            <v>0FS16F</v>
          </cell>
          <cell r="F278" t="str">
            <v/>
          </cell>
          <cell r="G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  <cell r="N278" t="str">
            <v/>
          </cell>
          <cell r="O278" t="str">
            <v/>
          </cell>
          <cell r="P278" t="str">
            <v/>
          </cell>
          <cell r="Q278" t="str">
            <v/>
          </cell>
          <cell r="R278" t="str">
            <v/>
          </cell>
          <cell r="S278" t="str">
            <v/>
          </cell>
          <cell r="T278" t="str">
            <v/>
          </cell>
          <cell r="U278" t="str">
            <v/>
          </cell>
        </row>
        <row r="279">
          <cell r="C279" t="str">
            <v>0FS16F</v>
          </cell>
          <cell r="E279" t="str">
            <v/>
          </cell>
          <cell r="F279" t="str">
            <v/>
          </cell>
          <cell r="G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  <cell r="N279" t="str">
            <v/>
          </cell>
          <cell r="O279" t="str">
            <v/>
          </cell>
          <cell r="P279" t="str">
            <v/>
          </cell>
          <cell r="Q279" t="str">
            <v/>
          </cell>
          <cell r="R279" t="str">
            <v/>
          </cell>
          <cell r="S279" t="str">
            <v/>
          </cell>
          <cell r="T279" t="str">
            <v/>
          </cell>
          <cell r="U279" t="str">
            <v/>
          </cell>
        </row>
        <row r="280">
          <cell r="C280" t="str">
            <v>0FS16F1</v>
          </cell>
          <cell r="E280" t="str">
            <v/>
          </cell>
          <cell r="F280" t="str">
            <v/>
          </cell>
          <cell r="G280">
            <v>100</v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  <cell r="N280">
            <v>100</v>
          </cell>
          <cell r="O280" t="str">
            <v/>
          </cell>
          <cell r="P280" t="str">
            <v/>
          </cell>
          <cell r="Q280" t="str">
            <v/>
          </cell>
          <cell r="R280" t="str">
            <v/>
          </cell>
          <cell r="S280" t="str">
            <v/>
          </cell>
          <cell r="T280" t="str">
            <v/>
          </cell>
          <cell r="U280" t="str">
            <v/>
          </cell>
        </row>
        <row r="281">
          <cell r="C281" t="str">
            <v>0FS16F2</v>
          </cell>
          <cell r="E281" t="str">
            <v/>
          </cell>
          <cell r="F281" t="str">
            <v/>
          </cell>
          <cell r="G281">
            <v>0</v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  <cell r="N281">
            <v>100</v>
          </cell>
          <cell r="O281" t="str">
            <v/>
          </cell>
          <cell r="P281" t="str">
            <v/>
          </cell>
          <cell r="Q281" t="str">
            <v/>
          </cell>
          <cell r="R281" t="str">
            <v/>
          </cell>
          <cell r="S281" t="str">
            <v/>
          </cell>
          <cell r="T281" t="str">
            <v/>
          </cell>
          <cell r="U281" t="str">
            <v/>
          </cell>
        </row>
        <row r="282">
          <cell r="C282" t="str">
            <v>0FS16F3</v>
          </cell>
          <cell r="E282" t="str">
            <v/>
          </cell>
          <cell r="F282" t="str">
            <v/>
          </cell>
          <cell r="G282">
            <v>0</v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  <cell r="N282">
            <v>100</v>
          </cell>
          <cell r="O282" t="str">
            <v/>
          </cell>
          <cell r="P282" t="str">
            <v/>
          </cell>
          <cell r="Q282" t="str">
            <v/>
          </cell>
          <cell r="R282" t="str">
            <v/>
          </cell>
          <cell r="S282" t="str">
            <v/>
          </cell>
          <cell r="T282" t="str">
            <v/>
          </cell>
          <cell r="U282" t="str">
            <v/>
          </cell>
        </row>
        <row r="283">
          <cell r="C283" t="str">
            <v>0FS16F4</v>
          </cell>
          <cell r="E283" t="str">
            <v/>
          </cell>
          <cell r="F283" t="str">
            <v/>
          </cell>
          <cell r="G283">
            <v>0</v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  <cell r="N283">
            <v>100</v>
          </cell>
          <cell r="O283" t="str">
            <v/>
          </cell>
          <cell r="P283" t="str">
            <v/>
          </cell>
          <cell r="Q283" t="str">
            <v/>
          </cell>
          <cell r="R283" t="str">
            <v/>
          </cell>
          <cell r="S283" t="str">
            <v/>
          </cell>
          <cell r="T283" t="str">
            <v/>
          </cell>
          <cell r="U283" t="str">
            <v/>
          </cell>
        </row>
        <row r="284">
          <cell r="C284" t="str">
            <v>0FS16F5</v>
          </cell>
          <cell r="E284" t="str">
            <v/>
          </cell>
          <cell r="F284" t="str">
            <v/>
          </cell>
          <cell r="G284">
            <v>0</v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  <cell r="N284" t="str">
            <v/>
          </cell>
          <cell r="O284" t="str">
            <v/>
          </cell>
          <cell r="P284" t="str">
            <v/>
          </cell>
          <cell r="Q284" t="str">
            <v/>
          </cell>
          <cell r="R284" t="str">
            <v/>
          </cell>
          <cell r="S284" t="str">
            <v/>
          </cell>
          <cell r="T284" t="str">
            <v/>
          </cell>
          <cell r="U284" t="str">
            <v/>
          </cell>
        </row>
        <row r="285">
          <cell r="C285" t="str">
            <v>0FS16F6</v>
          </cell>
          <cell r="E285" t="str">
            <v/>
          </cell>
          <cell r="F285" t="str">
            <v/>
          </cell>
          <cell r="G285">
            <v>0</v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  <cell r="N285" t="str">
            <v/>
          </cell>
          <cell r="O285" t="str">
            <v/>
          </cell>
          <cell r="P285" t="str">
            <v/>
          </cell>
          <cell r="Q285" t="str">
            <v/>
          </cell>
          <cell r="R285" t="str">
            <v/>
          </cell>
          <cell r="S285" t="str">
            <v/>
          </cell>
          <cell r="T285" t="str">
            <v/>
          </cell>
          <cell r="U285" t="str">
            <v/>
          </cell>
        </row>
        <row r="287">
          <cell r="C287" t="str">
            <v/>
          </cell>
          <cell r="E287" t="str">
            <v>Composite Identification</v>
          </cell>
          <cell r="F287" t="str">
            <v xml:space="preserve"> Ply Description</v>
          </cell>
          <cell r="G287" t="str">
            <v>BV Sample Number</v>
          </cell>
          <cell r="H287" t="str">
            <v>Depth From</v>
          </cell>
          <cell r="I287" t="str">
            <v>Depth To</v>
          </cell>
          <cell r="J287" t="str">
            <v>Recovered Thickness</v>
          </cell>
          <cell r="K287" t="str">
            <v>Interval</v>
          </cell>
          <cell r="L287" t="str">
            <v>Sample Type</v>
          </cell>
          <cell r="M287" t="str">
            <v>Initial Mass Tested</v>
          </cell>
          <cell r="O287" t="str">
            <v>Final Mass</v>
          </cell>
          <cell r="P287" t="str">
            <v>Loss / Gain</v>
          </cell>
          <cell r="Q287" t="str">
            <v>Raw Coal Relative Density (calculated)</v>
          </cell>
          <cell r="R287" t="str">
            <v>Raw Coal Moisture (calculated)</v>
          </cell>
          <cell r="S287" t="str">
            <v>Raw Coal Ash (calculated)</v>
          </cell>
          <cell r="T287" t="str">
            <v>Moisture (analysed)</v>
          </cell>
          <cell r="U287" t="str">
            <v>Ash (analysed)</v>
          </cell>
        </row>
        <row r="288">
          <cell r="C288" t="str">
            <v>RC</v>
          </cell>
          <cell r="H288" t="str">
            <v>(m)</v>
          </cell>
          <cell r="I288" t="str">
            <v>(m)</v>
          </cell>
          <cell r="J288" t="str">
            <v>(m)</v>
          </cell>
          <cell r="K288" t="str">
            <v>(m)</v>
          </cell>
          <cell r="M288" t="str">
            <v>(kg)</v>
          </cell>
          <cell r="O288" t="str">
            <v>(kg)</v>
          </cell>
          <cell r="P288" t="str">
            <v>(%)</v>
          </cell>
          <cell r="Q288" t="str">
            <v>(%ad)</v>
          </cell>
          <cell r="R288" t="str">
            <v>(%ad)</v>
          </cell>
          <cell r="S288" t="str">
            <v>(%ad)</v>
          </cell>
          <cell r="T288" t="str">
            <v>(%ad)</v>
          </cell>
          <cell r="U288" t="str">
            <v>(%ad)</v>
          </cell>
        </row>
        <row r="289">
          <cell r="C289" t="str">
            <v>0RC17</v>
          </cell>
          <cell r="E289" t="str">
            <v/>
          </cell>
          <cell r="F289" t="str">
            <v/>
          </cell>
          <cell r="G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e">
            <v>#N/A</v>
          </cell>
          <cell r="O289">
            <v>1E-3</v>
          </cell>
          <cell r="P289" t="e">
            <v>#N/A</v>
          </cell>
          <cell r="Q289" t="str">
            <v/>
          </cell>
          <cell r="R289" t="str">
            <v/>
          </cell>
          <cell r="S289" t="str">
            <v/>
          </cell>
          <cell r="T289" t="str">
            <v/>
          </cell>
          <cell r="U289" t="str">
            <v/>
          </cell>
        </row>
        <row r="291">
          <cell r="E291" t="str">
            <v>Density Fraction</v>
          </cell>
          <cell r="G291" t="str">
            <v>Fractional Analyses</v>
          </cell>
          <cell r="N291" t="str">
            <v>Cumulative Analyses</v>
          </cell>
        </row>
        <row r="292">
          <cell r="G292" t="str">
            <v xml:space="preserve">Mass </v>
          </cell>
          <cell r="H292" t="str">
            <v>Moisture</v>
          </cell>
          <cell r="I292" t="str">
            <v xml:space="preserve">Ash </v>
          </cell>
          <cell r="J292" t="str">
            <v xml:space="preserve">Volatile Matter </v>
          </cell>
          <cell r="K292" t="str">
            <v>Total Sulfur</v>
          </cell>
          <cell r="L292" t="str">
            <v>Calorific Value</v>
          </cell>
          <cell r="M292" t="str">
            <v>Phosphorus In Coal</v>
          </cell>
          <cell r="N292" t="str">
            <v xml:space="preserve">Mass </v>
          </cell>
          <cell r="O292" t="str">
            <v>Moisture</v>
          </cell>
          <cell r="P292" t="str">
            <v>Ash</v>
          </cell>
          <cell r="Q292" t="str">
            <v>Volatile Matter</v>
          </cell>
          <cell r="R292" t="str">
            <v>Total Sulfur</v>
          </cell>
          <cell r="S292" t="str">
            <v>Calorific Value</v>
          </cell>
          <cell r="T292" t="str">
            <v>Phosphorus In Coal</v>
          </cell>
          <cell r="U292" t="str">
            <v>Crucible Swelling Number</v>
          </cell>
        </row>
        <row r="293">
          <cell r="E293" t="str">
            <v>Sinks</v>
          </cell>
          <cell r="F293" t="str">
            <v>Floats</v>
          </cell>
          <cell r="G293" t="str">
            <v>(%)</v>
          </cell>
          <cell r="H293" t="str">
            <v>(%ad)</v>
          </cell>
          <cell r="I293" t="str">
            <v>(%ad)</v>
          </cell>
          <cell r="J293" t="str">
            <v>(%ad)</v>
          </cell>
          <cell r="K293" t="str">
            <v>(%ad)</v>
          </cell>
          <cell r="L293" t="str">
            <v>(MJ/kg ad)</v>
          </cell>
          <cell r="M293" t="str">
            <v>(%db)</v>
          </cell>
          <cell r="N293" t="str">
            <v>(%)</v>
          </cell>
          <cell r="O293" t="str">
            <v>(%ad)</v>
          </cell>
          <cell r="P293" t="str">
            <v>(%ad)</v>
          </cell>
          <cell r="Q293" t="str">
            <v>(%ad)</v>
          </cell>
          <cell r="R293" t="str">
            <v>(%ad)</v>
          </cell>
          <cell r="S293" t="str">
            <v>(MJ/kg ad)</v>
          </cell>
          <cell r="T293" t="str">
            <v>(%db)</v>
          </cell>
        </row>
        <row r="294">
          <cell r="C294" t="str">
            <v>FS</v>
          </cell>
        </row>
        <row r="295">
          <cell r="C295" t="str">
            <v>0FS17F</v>
          </cell>
          <cell r="F295" t="str">
            <v/>
          </cell>
          <cell r="G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  <cell r="N295" t="str">
            <v/>
          </cell>
          <cell r="O295" t="str">
            <v/>
          </cell>
          <cell r="P295" t="str">
            <v/>
          </cell>
          <cell r="Q295" t="str">
            <v/>
          </cell>
          <cell r="R295" t="str">
            <v/>
          </cell>
          <cell r="S295" t="str">
            <v/>
          </cell>
          <cell r="T295" t="str">
            <v/>
          </cell>
          <cell r="U295" t="str">
            <v/>
          </cell>
        </row>
        <row r="296">
          <cell r="C296" t="str">
            <v>0FS17F</v>
          </cell>
          <cell r="E296" t="str">
            <v/>
          </cell>
          <cell r="F296" t="str">
            <v/>
          </cell>
          <cell r="G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  <cell r="N296" t="str">
            <v/>
          </cell>
          <cell r="O296" t="str">
            <v/>
          </cell>
          <cell r="P296" t="str">
            <v/>
          </cell>
          <cell r="Q296" t="str">
            <v/>
          </cell>
          <cell r="R296" t="str">
            <v/>
          </cell>
          <cell r="S296" t="str">
            <v/>
          </cell>
          <cell r="T296" t="str">
            <v/>
          </cell>
          <cell r="U296" t="str">
            <v/>
          </cell>
        </row>
        <row r="297">
          <cell r="C297" t="str">
            <v>0FS17F1</v>
          </cell>
          <cell r="E297" t="str">
            <v/>
          </cell>
          <cell r="F297" t="str">
            <v/>
          </cell>
          <cell r="G297">
            <v>100</v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  <cell r="N297">
            <v>100</v>
          </cell>
          <cell r="O297" t="str">
            <v/>
          </cell>
          <cell r="P297" t="str">
            <v/>
          </cell>
          <cell r="Q297" t="str">
            <v/>
          </cell>
          <cell r="R297" t="str">
            <v/>
          </cell>
          <cell r="S297" t="str">
            <v/>
          </cell>
          <cell r="T297" t="str">
            <v/>
          </cell>
          <cell r="U297" t="str">
            <v/>
          </cell>
        </row>
        <row r="298">
          <cell r="C298" t="str">
            <v>0FS17F2</v>
          </cell>
          <cell r="E298" t="str">
            <v/>
          </cell>
          <cell r="F298" t="str">
            <v/>
          </cell>
          <cell r="G298">
            <v>0</v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  <cell r="N298">
            <v>100</v>
          </cell>
          <cell r="O298" t="str">
            <v/>
          </cell>
          <cell r="P298" t="str">
            <v/>
          </cell>
          <cell r="Q298" t="str">
            <v/>
          </cell>
          <cell r="R298" t="str">
            <v/>
          </cell>
          <cell r="S298" t="str">
            <v/>
          </cell>
          <cell r="T298" t="str">
            <v/>
          </cell>
          <cell r="U298" t="str">
            <v/>
          </cell>
        </row>
        <row r="299">
          <cell r="C299" t="str">
            <v>0FS17F3</v>
          </cell>
          <cell r="E299" t="str">
            <v/>
          </cell>
          <cell r="F299" t="str">
            <v/>
          </cell>
          <cell r="G299">
            <v>0</v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  <cell r="N299">
            <v>100</v>
          </cell>
          <cell r="O299" t="str">
            <v/>
          </cell>
          <cell r="P299" t="str">
            <v/>
          </cell>
          <cell r="Q299" t="str">
            <v/>
          </cell>
          <cell r="R299" t="str">
            <v/>
          </cell>
          <cell r="S299" t="str">
            <v/>
          </cell>
          <cell r="T299" t="str">
            <v/>
          </cell>
          <cell r="U299" t="str">
            <v/>
          </cell>
        </row>
        <row r="300">
          <cell r="C300" t="str">
            <v>0FS17F4</v>
          </cell>
          <cell r="E300" t="str">
            <v/>
          </cell>
          <cell r="F300" t="str">
            <v/>
          </cell>
          <cell r="G300">
            <v>0</v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  <cell r="N300">
            <v>100</v>
          </cell>
          <cell r="O300" t="str">
            <v/>
          </cell>
          <cell r="P300" t="str">
            <v/>
          </cell>
          <cell r="Q300" t="str">
            <v/>
          </cell>
          <cell r="R300" t="str">
            <v/>
          </cell>
          <cell r="S300" t="str">
            <v/>
          </cell>
          <cell r="T300" t="str">
            <v/>
          </cell>
          <cell r="U300" t="str">
            <v/>
          </cell>
        </row>
        <row r="301">
          <cell r="C301" t="str">
            <v>0FS17F5</v>
          </cell>
          <cell r="E301" t="str">
            <v/>
          </cell>
          <cell r="F301" t="str">
            <v/>
          </cell>
          <cell r="G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  <cell r="N301" t="str">
            <v/>
          </cell>
          <cell r="O301" t="str">
            <v/>
          </cell>
          <cell r="P301" t="str">
            <v/>
          </cell>
          <cell r="Q301" t="str">
            <v/>
          </cell>
          <cell r="R301" t="str">
            <v/>
          </cell>
          <cell r="S301" t="str">
            <v/>
          </cell>
          <cell r="T301" t="str">
            <v/>
          </cell>
          <cell r="U301" t="str">
            <v/>
          </cell>
        </row>
        <row r="302">
          <cell r="C302" t="str">
            <v>0FS17F6</v>
          </cell>
          <cell r="E302" t="str">
            <v/>
          </cell>
          <cell r="F302" t="str">
            <v/>
          </cell>
          <cell r="G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  <cell r="N302" t="str">
            <v/>
          </cell>
          <cell r="O302" t="str">
            <v/>
          </cell>
          <cell r="P302" t="str">
            <v/>
          </cell>
          <cell r="Q302" t="str">
            <v/>
          </cell>
          <cell r="R302" t="str">
            <v/>
          </cell>
          <cell r="S302" t="str">
            <v/>
          </cell>
          <cell r="T302" t="str">
            <v/>
          </cell>
          <cell r="U302" t="str">
            <v/>
          </cell>
        </row>
        <row r="304">
          <cell r="E304" t="str">
            <v>Composite Identification</v>
          </cell>
          <cell r="F304" t="str">
            <v xml:space="preserve"> Ply Description</v>
          </cell>
          <cell r="G304" t="str">
            <v>BV Sample Number</v>
          </cell>
          <cell r="H304" t="str">
            <v>Depth From</v>
          </cell>
          <cell r="I304" t="str">
            <v>Depth To</v>
          </cell>
          <cell r="J304" t="str">
            <v>Recovered Thickness</v>
          </cell>
          <cell r="K304" t="str">
            <v>Interval</v>
          </cell>
          <cell r="L304" t="str">
            <v>Sample Type</v>
          </cell>
          <cell r="M304" t="str">
            <v>Initial Mass Tested</v>
          </cell>
          <cell r="O304" t="str">
            <v>Final Mass</v>
          </cell>
          <cell r="P304" t="str">
            <v>Loss / Gain</v>
          </cell>
          <cell r="Q304" t="str">
            <v>Raw Coal Relative Density (calculated)</v>
          </cell>
          <cell r="R304" t="str">
            <v>Raw Coal Moisture (calculated)</v>
          </cell>
          <cell r="S304" t="str">
            <v>Raw Coal Ash (calculated)</v>
          </cell>
          <cell r="T304" t="str">
            <v>Moisture (analysed)</v>
          </cell>
          <cell r="U304" t="str">
            <v>Ash (analysed)</v>
          </cell>
        </row>
        <row r="305">
          <cell r="C305" t="str">
            <v>RC</v>
          </cell>
          <cell r="H305" t="str">
            <v>(m)</v>
          </cell>
          <cell r="I305" t="str">
            <v>(m)</v>
          </cell>
          <cell r="J305" t="str">
            <v>(m)</v>
          </cell>
          <cell r="K305" t="str">
            <v>(m)</v>
          </cell>
          <cell r="M305" t="str">
            <v>(kg)</v>
          </cell>
          <cell r="O305" t="str">
            <v>(kg)</v>
          </cell>
          <cell r="P305" t="str">
            <v>(%)</v>
          </cell>
          <cell r="Q305" t="str">
            <v>(%ad)</v>
          </cell>
          <cell r="R305" t="str">
            <v>(%ad)</v>
          </cell>
          <cell r="S305" t="str">
            <v>(%ad)</v>
          </cell>
          <cell r="T305" t="str">
            <v>(%ad)</v>
          </cell>
          <cell r="U305" t="str">
            <v>(%ad)</v>
          </cell>
        </row>
        <row r="306">
          <cell r="C306" t="str">
            <v>0RC18</v>
          </cell>
          <cell r="E306" t="str">
            <v/>
          </cell>
          <cell r="F306" t="str">
            <v/>
          </cell>
          <cell r="G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e">
            <v>#N/A</v>
          </cell>
          <cell r="O306">
            <v>1E-3</v>
          </cell>
          <cell r="P306" t="e">
            <v>#N/A</v>
          </cell>
          <cell r="Q306" t="str">
            <v/>
          </cell>
          <cell r="R306" t="str">
            <v/>
          </cell>
          <cell r="S306" t="str">
            <v/>
          </cell>
          <cell r="T306" t="str">
            <v/>
          </cell>
          <cell r="U306" t="str">
            <v/>
          </cell>
        </row>
        <row r="308">
          <cell r="E308" t="str">
            <v>Density Fraction</v>
          </cell>
          <cell r="G308" t="str">
            <v>Fractional Analyses</v>
          </cell>
          <cell r="N308" t="str">
            <v>Cumulative Analyses</v>
          </cell>
        </row>
        <row r="309">
          <cell r="G309" t="str">
            <v xml:space="preserve">Mass </v>
          </cell>
          <cell r="H309" t="str">
            <v>Moisture</v>
          </cell>
          <cell r="I309" t="str">
            <v xml:space="preserve">Ash </v>
          </cell>
          <cell r="J309" t="str">
            <v xml:space="preserve">Volatile Matter </v>
          </cell>
          <cell r="K309" t="str">
            <v>Total Sulfur</v>
          </cell>
          <cell r="L309" t="str">
            <v>Calorific Value</v>
          </cell>
          <cell r="M309" t="str">
            <v>Phosphorus In Coal</v>
          </cell>
          <cell r="N309" t="str">
            <v xml:space="preserve">Mass </v>
          </cell>
          <cell r="O309" t="str">
            <v>Moisture</v>
          </cell>
          <cell r="P309" t="str">
            <v>Ash</v>
          </cell>
          <cell r="Q309" t="str">
            <v>Volatile Matter</v>
          </cell>
          <cell r="R309" t="str">
            <v>Total Sulfur</v>
          </cell>
          <cell r="S309" t="str">
            <v>Calorific Value</v>
          </cell>
          <cell r="T309" t="str">
            <v>Phosphorus In Coal</v>
          </cell>
          <cell r="U309" t="str">
            <v>Crucible Swelling Number</v>
          </cell>
        </row>
        <row r="310">
          <cell r="E310" t="str">
            <v>Sinks</v>
          </cell>
          <cell r="F310" t="str">
            <v>Floats</v>
          </cell>
          <cell r="G310" t="str">
            <v>(%)</v>
          </cell>
          <cell r="H310" t="str">
            <v>(%ad)</v>
          </cell>
          <cell r="I310" t="str">
            <v>(%ad)</v>
          </cell>
          <cell r="J310" t="str">
            <v>(%ad)</v>
          </cell>
          <cell r="K310" t="str">
            <v>(%ad)</v>
          </cell>
          <cell r="L310" t="str">
            <v>(MJ/kg ad)</v>
          </cell>
          <cell r="M310" t="str">
            <v>(%db)</v>
          </cell>
          <cell r="N310" t="str">
            <v>(%)</v>
          </cell>
          <cell r="O310" t="str">
            <v>(%ad)</v>
          </cell>
          <cell r="P310" t="str">
            <v>(%ad)</v>
          </cell>
          <cell r="Q310" t="str">
            <v>(%ad)</v>
          </cell>
          <cell r="R310" t="str">
            <v>(%ad)</v>
          </cell>
          <cell r="S310" t="str">
            <v>(MJ/kg ad)</v>
          </cell>
          <cell r="T310" t="str">
            <v>(%db)</v>
          </cell>
        </row>
        <row r="311">
          <cell r="C311" t="str">
            <v>FS</v>
          </cell>
        </row>
        <row r="312">
          <cell r="C312" t="str">
            <v>0FS18F</v>
          </cell>
          <cell r="F312" t="str">
            <v/>
          </cell>
          <cell r="G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  <cell r="N312" t="str">
            <v/>
          </cell>
          <cell r="O312" t="str">
            <v/>
          </cell>
          <cell r="P312" t="str">
            <v/>
          </cell>
          <cell r="Q312" t="str">
            <v/>
          </cell>
          <cell r="R312" t="str">
            <v/>
          </cell>
          <cell r="S312" t="str">
            <v/>
          </cell>
          <cell r="T312" t="str">
            <v/>
          </cell>
          <cell r="U312" t="str">
            <v/>
          </cell>
        </row>
        <row r="313">
          <cell r="C313" t="str">
            <v>0FS18F</v>
          </cell>
          <cell r="E313" t="str">
            <v/>
          </cell>
          <cell r="F313" t="str">
            <v/>
          </cell>
          <cell r="G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  <cell r="N313" t="str">
            <v/>
          </cell>
          <cell r="O313" t="str">
            <v/>
          </cell>
          <cell r="P313" t="str">
            <v/>
          </cell>
          <cell r="Q313" t="str">
            <v/>
          </cell>
          <cell r="R313" t="str">
            <v/>
          </cell>
          <cell r="S313" t="str">
            <v/>
          </cell>
          <cell r="T313" t="str">
            <v/>
          </cell>
          <cell r="U313" t="str">
            <v/>
          </cell>
        </row>
        <row r="314">
          <cell r="C314" t="str">
            <v>0FS18F1</v>
          </cell>
          <cell r="E314" t="str">
            <v/>
          </cell>
          <cell r="F314" t="str">
            <v/>
          </cell>
          <cell r="G314">
            <v>100</v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  <cell r="N314">
            <v>100</v>
          </cell>
          <cell r="O314" t="str">
            <v/>
          </cell>
          <cell r="P314" t="str">
            <v/>
          </cell>
          <cell r="Q314" t="str">
            <v/>
          </cell>
          <cell r="R314" t="str">
            <v/>
          </cell>
          <cell r="S314" t="str">
            <v/>
          </cell>
          <cell r="T314" t="str">
            <v/>
          </cell>
          <cell r="U314" t="str">
            <v/>
          </cell>
        </row>
        <row r="315">
          <cell r="C315" t="str">
            <v>0FS18F2</v>
          </cell>
          <cell r="E315" t="str">
            <v/>
          </cell>
          <cell r="F315" t="str">
            <v/>
          </cell>
          <cell r="G315">
            <v>0</v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  <cell r="N315">
            <v>100</v>
          </cell>
          <cell r="O315" t="str">
            <v/>
          </cell>
          <cell r="P315" t="str">
            <v/>
          </cell>
          <cell r="Q315" t="str">
            <v/>
          </cell>
          <cell r="R315" t="str">
            <v/>
          </cell>
          <cell r="S315" t="str">
            <v/>
          </cell>
          <cell r="T315" t="str">
            <v/>
          </cell>
          <cell r="U315" t="str">
            <v/>
          </cell>
        </row>
        <row r="316">
          <cell r="C316" t="str">
            <v>0FS18F3</v>
          </cell>
          <cell r="E316" t="str">
            <v/>
          </cell>
          <cell r="F316" t="str">
            <v/>
          </cell>
          <cell r="G316">
            <v>0</v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  <cell r="N316">
            <v>100</v>
          </cell>
          <cell r="O316" t="str">
            <v/>
          </cell>
          <cell r="P316" t="str">
            <v/>
          </cell>
          <cell r="Q316" t="str">
            <v/>
          </cell>
          <cell r="R316" t="str">
            <v/>
          </cell>
          <cell r="S316" t="str">
            <v/>
          </cell>
          <cell r="T316" t="str">
            <v/>
          </cell>
          <cell r="U316" t="str">
            <v/>
          </cell>
        </row>
        <row r="317">
          <cell r="C317" t="str">
            <v>0FS18F4</v>
          </cell>
          <cell r="E317" t="str">
            <v/>
          </cell>
          <cell r="F317" t="str">
            <v/>
          </cell>
          <cell r="G317">
            <v>0</v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  <cell r="N317">
            <v>100</v>
          </cell>
          <cell r="O317" t="str">
            <v/>
          </cell>
          <cell r="P317" t="str">
            <v/>
          </cell>
          <cell r="Q317" t="str">
            <v/>
          </cell>
          <cell r="R317" t="str">
            <v/>
          </cell>
          <cell r="S317" t="str">
            <v/>
          </cell>
          <cell r="T317" t="str">
            <v/>
          </cell>
          <cell r="U317" t="str">
            <v/>
          </cell>
        </row>
        <row r="318">
          <cell r="C318" t="str">
            <v>0FS18F5</v>
          </cell>
          <cell r="E318" t="str">
            <v/>
          </cell>
          <cell r="F318" t="str">
            <v/>
          </cell>
          <cell r="G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  <cell r="N318" t="str">
            <v/>
          </cell>
          <cell r="O318" t="str">
            <v/>
          </cell>
          <cell r="P318" t="str">
            <v/>
          </cell>
          <cell r="Q318" t="str">
            <v/>
          </cell>
          <cell r="R318" t="str">
            <v/>
          </cell>
          <cell r="S318" t="str">
            <v/>
          </cell>
          <cell r="T318" t="str">
            <v/>
          </cell>
          <cell r="U318" t="str">
            <v/>
          </cell>
        </row>
        <row r="319">
          <cell r="C319" t="str">
            <v>0FS18F6</v>
          </cell>
          <cell r="E319" t="str">
            <v/>
          </cell>
          <cell r="F319" t="str">
            <v/>
          </cell>
          <cell r="G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  <cell r="N319" t="str">
            <v/>
          </cell>
          <cell r="O319" t="str">
            <v/>
          </cell>
          <cell r="P319" t="str">
            <v/>
          </cell>
          <cell r="Q319" t="str">
            <v/>
          </cell>
          <cell r="R319" t="str">
            <v/>
          </cell>
          <cell r="S319" t="str">
            <v/>
          </cell>
          <cell r="T319" t="str">
            <v/>
          </cell>
          <cell r="U319" t="str">
            <v/>
          </cell>
        </row>
        <row r="322">
          <cell r="C322" t="str">
            <v/>
          </cell>
          <cell r="E322" t="str">
            <v>Composite Identification</v>
          </cell>
          <cell r="F322" t="str">
            <v xml:space="preserve"> Ply Description</v>
          </cell>
          <cell r="G322" t="str">
            <v>BV Sample Number</v>
          </cell>
          <cell r="H322" t="str">
            <v>Depth From</v>
          </cell>
          <cell r="I322" t="str">
            <v>Depth To</v>
          </cell>
          <cell r="J322" t="str">
            <v>Recovered Thickness</v>
          </cell>
          <cell r="K322" t="str">
            <v>Interval</v>
          </cell>
          <cell r="L322" t="str">
            <v>Sample Type</v>
          </cell>
          <cell r="M322" t="str">
            <v>Initial Mass Tested</v>
          </cell>
          <cell r="O322" t="str">
            <v>Final Mass</v>
          </cell>
          <cell r="P322" t="str">
            <v>Loss / Gain</v>
          </cell>
          <cell r="Q322" t="str">
            <v>Raw Coal Relative Density (calculated)</v>
          </cell>
          <cell r="R322" t="str">
            <v>Raw Coal Moisture (calculated)</v>
          </cell>
          <cell r="S322" t="str">
            <v>Raw Coal Ash (calculated)</v>
          </cell>
          <cell r="T322" t="str">
            <v>Moisture (analysed)</v>
          </cell>
          <cell r="U322" t="str">
            <v>Ash (analysed)</v>
          </cell>
        </row>
        <row r="323">
          <cell r="C323" t="str">
            <v>RC</v>
          </cell>
          <cell r="H323" t="str">
            <v>(m)</v>
          </cell>
          <cell r="I323" t="str">
            <v>(m)</v>
          </cell>
          <cell r="J323" t="str">
            <v>(m)</v>
          </cell>
          <cell r="K323" t="str">
            <v>(m)</v>
          </cell>
          <cell r="M323" t="str">
            <v>(kg)</v>
          </cell>
          <cell r="O323" t="str">
            <v>(kg)</v>
          </cell>
          <cell r="P323" t="str">
            <v>(%)</v>
          </cell>
          <cell r="Q323" t="str">
            <v>(%ad)</v>
          </cell>
          <cell r="R323" t="str">
            <v>(%ad)</v>
          </cell>
          <cell r="S323" t="str">
            <v>(%ad)</v>
          </cell>
          <cell r="T323" t="str">
            <v>(%ad)</v>
          </cell>
          <cell r="U323" t="str">
            <v>(%ad)</v>
          </cell>
        </row>
        <row r="324">
          <cell r="C324" t="str">
            <v>0RC19</v>
          </cell>
          <cell r="E324" t="str">
            <v/>
          </cell>
          <cell r="F324" t="str">
            <v/>
          </cell>
          <cell r="G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e">
            <v>#N/A</v>
          </cell>
          <cell r="O324">
            <v>1E-3</v>
          </cell>
          <cell r="P324" t="e">
            <v>#N/A</v>
          </cell>
          <cell r="Q324" t="str">
            <v/>
          </cell>
          <cell r="R324" t="str">
            <v/>
          </cell>
          <cell r="S324" t="str">
            <v/>
          </cell>
          <cell r="T324" t="str">
            <v/>
          </cell>
          <cell r="U324" t="str">
            <v/>
          </cell>
        </row>
        <row r="326">
          <cell r="E326" t="str">
            <v>Density Fraction</v>
          </cell>
          <cell r="G326" t="str">
            <v>Fractional Analyses</v>
          </cell>
          <cell r="N326" t="str">
            <v>Cumulative Analyses</v>
          </cell>
        </row>
        <row r="327">
          <cell r="G327" t="str">
            <v xml:space="preserve">Mass </v>
          </cell>
          <cell r="H327" t="str">
            <v>Moisture</v>
          </cell>
          <cell r="I327" t="str">
            <v xml:space="preserve">Ash </v>
          </cell>
          <cell r="J327" t="str">
            <v xml:space="preserve">Volatile Matter </v>
          </cell>
          <cell r="K327" t="str">
            <v>Total Sulfur</v>
          </cell>
          <cell r="L327" t="str">
            <v>Calorific Value</v>
          </cell>
          <cell r="M327" t="str">
            <v>Phosphorus In Coal</v>
          </cell>
          <cell r="N327" t="str">
            <v xml:space="preserve">Mass </v>
          </cell>
          <cell r="O327" t="str">
            <v>Moisture</v>
          </cell>
          <cell r="P327" t="str">
            <v>Ash</v>
          </cell>
          <cell r="Q327" t="str">
            <v>Volatile Matter</v>
          </cell>
          <cell r="R327" t="str">
            <v>Total Sulfur</v>
          </cell>
          <cell r="S327" t="str">
            <v>Calorific Value</v>
          </cell>
          <cell r="T327" t="str">
            <v>Phosphorus In Coal</v>
          </cell>
          <cell r="U327" t="str">
            <v>Crucible Swelling Number</v>
          </cell>
        </row>
        <row r="328">
          <cell r="E328" t="str">
            <v>Sinks</v>
          </cell>
          <cell r="F328" t="str">
            <v>Floats</v>
          </cell>
          <cell r="G328" t="str">
            <v>(%)</v>
          </cell>
          <cell r="H328" t="str">
            <v>(%ad)</v>
          </cell>
          <cell r="I328" t="str">
            <v>(%ad)</v>
          </cell>
          <cell r="J328" t="str">
            <v>(%ad)</v>
          </cell>
          <cell r="K328" t="str">
            <v>(%ad)</v>
          </cell>
          <cell r="L328" t="str">
            <v>(MJ/kg ad)</v>
          </cell>
          <cell r="M328" t="str">
            <v>(%db)</v>
          </cell>
          <cell r="N328" t="str">
            <v>(%)</v>
          </cell>
          <cell r="O328" t="str">
            <v>(%ad)</v>
          </cell>
          <cell r="P328" t="str">
            <v>(%ad)</v>
          </cell>
          <cell r="Q328" t="str">
            <v>(%ad)</v>
          </cell>
          <cell r="R328" t="str">
            <v>(%ad)</v>
          </cell>
          <cell r="S328" t="str">
            <v>(MJ/kg ad)</v>
          </cell>
          <cell r="T328" t="str">
            <v>(%db)</v>
          </cell>
        </row>
        <row r="329">
          <cell r="C329" t="str">
            <v>FS</v>
          </cell>
        </row>
        <row r="330">
          <cell r="C330" t="str">
            <v>0FS19F</v>
          </cell>
          <cell r="F330" t="str">
            <v/>
          </cell>
          <cell r="G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  <cell r="N330" t="str">
            <v/>
          </cell>
          <cell r="O330" t="str">
            <v/>
          </cell>
          <cell r="P330" t="str">
            <v/>
          </cell>
          <cell r="Q330" t="str">
            <v/>
          </cell>
          <cell r="R330" t="str">
            <v/>
          </cell>
          <cell r="S330" t="str">
            <v/>
          </cell>
          <cell r="T330" t="str">
            <v/>
          </cell>
          <cell r="U330" t="str">
            <v/>
          </cell>
        </row>
        <row r="331">
          <cell r="C331" t="str">
            <v>0FS19F</v>
          </cell>
          <cell r="E331" t="str">
            <v/>
          </cell>
          <cell r="F331" t="str">
            <v/>
          </cell>
          <cell r="G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  <cell r="N331" t="str">
            <v/>
          </cell>
          <cell r="O331" t="str">
            <v/>
          </cell>
          <cell r="P331" t="str">
            <v/>
          </cell>
          <cell r="Q331" t="str">
            <v/>
          </cell>
          <cell r="R331" t="str">
            <v/>
          </cell>
          <cell r="S331" t="str">
            <v/>
          </cell>
          <cell r="T331" t="str">
            <v/>
          </cell>
          <cell r="U331" t="str">
            <v/>
          </cell>
        </row>
        <row r="332">
          <cell r="C332" t="str">
            <v>0FS19F1</v>
          </cell>
          <cell r="E332" t="str">
            <v/>
          </cell>
          <cell r="F332" t="str">
            <v/>
          </cell>
          <cell r="G332">
            <v>100</v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  <cell r="N332">
            <v>100</v>
          </cell>
          <cell r="O332" t="str">
            <v/>
          </cell>
          <cell r="P332" t="str">
            <v/>
          </cell>
          <cell r="Q332" t="str">
            <v/>
          </cell>
          <cell r="R332" t="str">
            <v/>
          </cell>
          <cell r="S332" t="str">
            <v/>
          </cell>
          <cell r="T332" t="str">
            <v/>
          </cell>
          <cell r="U332" t="str">
            <v/>
          </cell>
        </row>
        <row r="333">
          <cell r="C333" t="str">
            <v>0FS19F2</v>
          </cell>
          <cell r="E333" t="str">
            <v/>
          </cell>
          <cell r="F333" t="str">
            <v/>
          </cell>
          <cell r="G333">
            <v>0</v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  <cell r="N333">
            <v>100</v>
          </cell>
          <cell r="O333" t="str">
            <v/>
          </cell>
          <cell r="P333" t="str">
            <v/>
          </cell>
          <cell r="Q333" t="str">
            <v/>
          </cell>
          <cell r="R333" t="str">
            <v/>
          </cell>
          <cell r="S333" t="str">
            <v/>
          </cell>
          <cell r="T333" t="str">
            <v/>
          </cell>
          <cell r="U333" t="str">
            <v/>
          </cell>
        </row>
        <row r="334">
          <cell r="C334" t="str">
            <v>0FS19F3</v>
          </cell>
          <cell r="E334" t="str">
            <v/>
          </cell>
          <cell r="F334" t="str">
            <v/>
          </cell>
          <cell r="G334">
            <v>0</v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  <cell r="N334">
            <v>100</v>
          </cell>
          <cell r="O334" t="str">
            <v/>
          </cell>
          <cell r="P334" t="str">
            <v/>
          </cell>
          <cell r="Q334" t="str">
            <v/>
          </cell>
          <cell r="R334" t="str">
            <v/>
          </cell>
          <cell r="S334" t="str">
            <v/>
          </cell>
          <cell r="T334" t="str">
            <v/>
          </cell>
          <cell r="U334" t="str">
            <v/>
          </cell>
        </row>
        <row r="335">
          <cell r="C335" t="str">
            <v>0FS19F4</v>
          </cell>
          <cell r="E335" t="str">
            <v/>
          </cell>
          <cell r="F335" t="str">
            <v/>
          </cell>
          <cell r="G335">
            <v>0</v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  <cell r="N335">
            <v>100</v>
          </cell>
          <cell r="O335" t="str">
            <v/>
          </cell>
          <cell r="P335" t="str">
            <v/>
          </cell>
          <cell r="Q335" t="str">
            <v/>
          </cell>
          <cell r="R335" t="str">
            <v/>
          </cell>
          <cell r="S335" t="str">
            <v/>
          </cell>
          <cell r="T335" t="str">
            <v/>
          </cell>
          <cell r="U335" t="str">
            <v/>
          </cell>
        </row>
        <row r="336">
          <cell r="C336" t="str">
            <v>0FS19F5</v>
          </cell>
          <cell r="E336" t="str">
            <v/>
          </cell>
          <cell r="F336" t="str">
            <v/>
          </cell>
          <cell r="G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  <cell r="N336" t="str">
            <v/>
          </cell>
          <cell r="O336" t="str">
            <v/>
          </cell>
          <cell r="P336" t="str">
            <v/>
          </cell>
          <cell r="Q336" t="str">
            <v/>
          </cell>
          <cell r="R336" t="str">
            <v/>
          </cell>
          <cell r="S336" t="str">
            <v/>
          </cell>
          <cell r="T336" t="str">
            <v/>
          </cell>
          <cell r="U336" t="str">
            <v/>
          </cell>
        </row>
        <row r="337">
          <cell r="C337" t="str">
            <v>0FS19F6</v>
          </cell>
          <cell r="E337" t="str">
            <v/>
          </cell>
          <cell r="F337" t="str">
            <v/>
          </cell>
          <cell r="G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  <cell r="N337" t="str">
            <v/>
          </cell>
          <cell r="O337" t="str">
            <v/>
          </cell>
          <cell r="P337" t="str">
            <v/>
          </cell>
          <cell r="Q337" t="str">
            <v/>
          </cell>
          <cell r="R337" t="str">
            <v/>
          </cell>
          <cell r="S337" t="str">
            <v/>
          </cell>
          <cell r="T337" t="str">
            <v/>
          </cell>
          <cell r="U337" t="str">
            <v/>
          </cell>
        </row>
        <row r="339">
          <cell r="E339" t="str">
            <v>Composite Identification</v>
          </cell>
          <cell r="F339" t="str">
            <v xml:space="preserve"> Ply Description</v>
          </cell>
          <cell r="G339" t="str">
            <v>BV Sample Number</v>
          </cell>
          <cell r="H339" t="str">
            <v>Depth From</v>
          </cell>
          <cell r="I339" t="str">
            <v>Depth To</v>
          </cell>
          <cell r="J339" t="str">
            <v>Recovered Thickness</v>
          </cell>
          <cell r="K339" t="str">
            <v>Interval</v>
          </cell>
          <cell r="L339" t="str">
            <v>Sample Type</v>
          </cell>
          <cell r="M339" t="str">
            <v>Initial Mass Tested</v>
          </cell>
          <cell r="O339" t="str">
            <v>Final Mass</v>
          </cell>
          <cell r="P339" t="str">
            <v>Loss / Gain</v>
          </cell>
          <cell r="Q339" t="str">
            <v>Raw Coal Relative Density (calculated)</v>
          </cell>
          <cell r="R339" t="str">
            <v>Raw Coal Moisture (calculated)</v>
          </cell>
          <cell r="S339" t="str">
            <v>Raw Coal Ash (calculated)</v>
          </cell>
          <cell r="T339" t="str">
            <v>Moisture (analysed)</v>
          </cell>
          <cell r="U339" t="str">
            <v>Ash (analysed)</v>
          </cell>
        </row>
        <row r="340">
          <cell r="C340" t="str">
            <v>RC</v>
          </cell>
          <cell r="H340" t="str">
            <v>(m)</v>
          </cell>
          <cell r="I340" t="str">
            <v>(m)</v>
          </cell>
          <cell r="J340" t="str">
            <v>(m)</v>
          </cell>
          <cell r="K340" t="str">
            <v>(m)</v>
          </cell>
          <cell r="M340" t="str">
            <v>(kg)</v>
          </cell>
          <cell r="O340" t="str">
            <v>(kg)</v>
          </cell>
          <cell r="P340" t="str">
            <v>(%)</v>
          </cell>
          <cell r="Q340" t="str">
            <v>(%ad)</v>
          </cell>
          <cell r="R340" t="str">
            <v>(%ad)</v>
          </cell>
          <cell r="S340" t="str">
            <v>(%ad)</v>
          </cell>
          <cell r="T340" t="str">
            <v>(%ad)</v>
          </cell>
          <cell r="U340" t="str">
            <v>(%ad)</v>
          </cell>
        </row>
        <row r="341">
          <cell r="C341" t="str">
            <v>0RC20</v>
          </cell>
          <cell r="E341" t="str">
            <v/>
          </cell>
          <cell r="F341" t="str">
            <v/>
          </cell>
          <cell r="G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e">
            <v>#N/A</v>
          </cell>
          <cell r="O341">
            <v>1E-3</v>
          </cell>
          <cell r="P341" t="e">
            <v>#N/A</v>
          </cell>
          <cell r="Q341" t="str">
            <v/>
          </cell>
          <cell r="R341" t="str">
            <v/>
          </cell>
          <cell r="S341" t="str">
            <v/>
          </cell>
          <cell r="T341" t="str">
            <v/>
          </cell>
          <cell r="U341" t="str">
            <v/>
          </cell>
        </row>
        <row r="343">
          <cell r="E343" t="str">
            <v>Density Fraction</v>
          </cell>
          <cell r="G343" t="str">
            <v>Fractional Analyses</v>
          </cell>
          <cell r="N343" t="str">
            <v>Cumulative Analyses</v>
          </cell>
        </row>
        <row r="344">
          <cell r="G344" t="str">
            <v xml:space="preserve">Mass </v>
          </cell>
          <cell r="H344" t="str">
            <v>Moisture</v>
          </cell>
          <cell r="I344" t="str">
            <v xml:space="preserve">Ash </v>
          </cell>
          <cell r="J344" t="str">
            <v xml:space="preserve">Volatile Matter </v>
          </cell>
          <cell r="K344" t="str">
            <v>Total Sulfur</v>
          </cell>
          <cell r="L344" t="str">
            <v>Calorific Value</v>
          </cell>
          <cell r="M344" t="str">
            <v>Phosphorus In Coal</v>
          </cell>
          <cell r="N344" t="str">
            <v xml:space="preserve">Mass </v>
          </cell>
          <cell r="O344" t="str">
            <v>Moisture</v>
          </cell>
          <cell r="P344" t="str">
            <v>Ash</v>
          </cell>
          <cell r="Q344" t="str">
            <v>Volatile Matter</v>
          </cell>
          <cell r="R344" t="str">
            <v>Total Sulfur</v>
          </cell>
          <cell r="S344" t="str">
            <v>Calorific Value</v>
          </cell>
          <cell r="T344" t="str">
            <v>Phosphorus In Coal</v>
          </cell>
          <cell r="U344" t="str">
            <v>Crucible Swelling Number</v>
          </cell>
        </row>
        <row r="345">
          <cell r="E345" t="str">
            <v>Sinks</v>
          </cell>
          <cell r="F345" t="str">
            <v>Floats</v>
          </cell>
          <cell r="G345" t="str">
            <v>(%)</v>
          </cell>
          <cell r="H345" t="str">
            <v>(%ad)</v>
          </cell>
          <cell r="I345" t="str">
            <v>(%ad)</v>
          </cell>
          <cell r="J345" t="str">
            <v>(%ad)</v>
          </cell>
          <cell r="K345" t="str">
            <v>(%ad)</v>
          </cell>
          <cell r="L345" t="str">
            <v>(MJ/kg ad)</v>
          </cell>
          <cell r="M345" t="str">
            <v>(%db)</v>
          </cell>
          <cell r="N345" t="str">
            <v>(%)</v>
          </cell>
          <cell r="O345" t="str">
            <v>(%ad)</v>
          </cell>
          <cell r="P345" t="str">
            <v>(%ad)</v>
          </cell>
          <cell r="Q345" t="str">
            <v>(%ad)</v>
          </cell>
          <cell r="R345" t="str">
            <v>(%ad)</v>
          </cell>
          <cell r="S345" t="str">
            <v>(MJ/kg ad)</v>
          </cell>
          <cell r="T345" t="str">
            <v>(%db)</v>
          </cell>
        </row>
        <row r="346">
          <cell r="C346" t="str">
            <v>FS</v>
          </cell>
        </row>
        <row r="347">
          <cell r="C347" t="str">
            <v>0FS20F</v>
          </cell>
          <cell r="F347" t="str">
            <v/>
          </cell>
          <cell r="G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  <cell r="N347" t="str">
            <v/>
          </cell>
          <cell r="O347" t="str">
            <v/>
          </cell>
          <cell r="P347" t="str">
            <v/>
          </cell>
          <cell r="Q347" t="str">
            <v/>
          </cell>
          <cell r="R347" t="str">
            <v/>
          </cell>
          <cell r="S347" t="str">
            <v/>
          </cell>
          <cell r="T347" t="str">
            <v/>
          </cell>
          <cell r="U347" t="str">
            <v/>
          </cell>
        </row>
        <row r="348">
          <cell r="C348" t="str">
            <v>0FS20F</v>
          </cell>
          <cell r="E348" t="str">
            <v/>
          </cell>
          <cell r="F348" t="str">
            <v/>
          </cell>
          <cell r="G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  <cell r="N348" t="str">
            <v/>
          </cell>
          <cell r="O348" t="str">
            <v/>
          </cell>
          <cell r="P348" t="str">
            <v/>
          </cell>
          <cell r="Q348" t="str">
            <v/>
          </cell>
          <cell r="R348" t="str">
            <v/>
          </cell>
          <cell r="S348" t="str">
            <v/>
          </cell>
          <cell r="T348" t="str">
            <v/>
          </cell>
          <cell r="U348" t="str">
            <v/>
          </cell>
        </row>
        <row r="349">
          <cell r="C349" t="str">
            <v>0FS20F1</v>
          </cell>
          <cell r="E349" t="str">
            <v/>
          </cell>
          <cell r="F349" t="str">
            <v/>
          </cell>
          <cell r="G349">
            <v>100</v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  <cell r="N349">
            <v>100</v>
          </cell>
          <cell r="O349" t="str">
            <v/>
          </cell>
          <cell r="P349" t="str">
            <v/>
          </cell>
          <cell r="Q349" t="str">
            <v/>
          </cell>
          <cell r="R349" t="str">
            <v/>
          </cell>
          <cell r="S349" t="str">
            <v/>
          </cell>
          <cell r="T349" t="str">
            <v/>
          </cell>
          <cell r="U349" t="str">
            <v/>
          </cell>
        </row>
        <row r="350">
          <cell r="C350" t="str">
            <v>0FS20F2</v>
          </cell>
          <cell r="E350" t="str">
            <v/>
          </cell>
          <cell r="F350" t="str">
            <v/>
          </cell>
          <cell r="G350">
            <v>0</v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  <cell r="N350">
            <v>100</v>
          </cell>
          <cell r="O350" t="str">
            <v/>
          </cell>
          <cell r="P350" t="str">
            <v/>
          </cell>
          <cell r="Q350" t="str">
            <v/>
          </cell>
          <cell r="R350" t="str">
            <v/>
          </cell>
          <cell r="S350" t="str">
            <v/>
          </cell>
          <cell r="T350" t="str">
            <v/>
          </cell>
          <cell r="U350" t="str">
            <v/>
          </cell>
        </row>
        <row r="351">
          <cell r="C351" t="str">
            <v>0FS20F3</v>
          </cell>
          <cell r="E351" t="str">
            <v/>
          </cell>
          <cell r="F351" t="str">
            <v/>
          </cell>
          <cell r="G351">
            <v>0</v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  <cell r="N351">
            <v>100</v>
          </cell>
          <cell r="O351" t="str">
            <v/>
          </cell>
          <cell r="P351" t="str">
            <v/>
          </cell>
          <cell r="Q351" t="str">
            <v/>
          </cell>
          <cell r="R351" t="str">
            <v/>
          </cell>
          <cell r="S351" t="str">
            <v/>
          </cell>
          <cell r="T351" t="str">
            <v/>
          </cell>
          <cell r="U351" t="str">
            <v/>
          </cell>
        </row>
        <row r="352">
          <cell r="C352" t="str">
            <v>0FS20F4</v>
          </cell>
          <cell r="E352" t="str">
            <v/>
          </cell>
          <cell r="F352" t="str">
            <v/>
          </cell>
          <cell r="G352">
            <v>0</v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  <cell r="N352">
            <v>100</v>
          </cell>
          <cell r="O352" t="str">
            <v/>
          </cell>
          <cell r="P352" t="str">
            <v/>
          </cell>
          <cell r="Q352" t="str">
            <v/>
          </cell>
          <cell r="R352" t="str">
            <v/>
          </cell>
          <cell r="S352" t="str">
            <v/>
          </cell>
          <cell r="T352" t="str">
            <v/>
          </cell>
          <cell r="U352" t="str">
            <v/>
          </cell>
        </row>
        <row r="353">
          <cell r="C353" t="str">
            <v>0FS20F5</v>
          </cell>
          <cell r="E353" t="str">
            <v/>
          </cell>
          <cell r="F353" t="str">
            <v/>
          </cell>
          <cell r="G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  <cell r="N353" t="str">
            <v/>
          </cell>
          <cell r="O353" t="str">
            <v/>
          </cell>
          <cell r="P353" t="str">
            <v/>
          </cell>
          <cell r="Q353" t="str">
            <v/>
          </cell>
          <cell r="R353" t="str">
            <v/>
          </cell>
          <cell r="S353" t="str">
            <v/>
          </cell>
          <cell r="T353" t="str">
            <v/>
          </cell>
          <cell r="U353" t="str">
            <v/>
          </cell>
        </row>
        <row r="354">
          <cell r="C354" t="str">
            <v>0FS20F6</v>
          </cell>
          <cell r="E354" t="str">
            <v/>
          </cell>
          <cell r="F354" t="str">
            <v/>
          </cell>
          <cell r="G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  <cell r="N354" t="str">
            <v/>
          </cell>
          <cell r="O354" t="str">
            <v/>
          </cell>
          <cell r="P354" t="str">
            <v/>
          </cell>
          <cell r="Q354" t="str">
            <v/>
          </cell>
          <cell r="R354" t="str">
            <v/>
          </cell>
          <cell r="S354" t="str">
            <v/>
          </cell>
          <cell r="T354" t="str">
            <v/>
          </cell>
          <cell r="U354" t="str">
            <v/>
          </cell>
        </row>
        <row r="356">
          <cell r="C356" t="str">
            <v/>
          </cell>
          <cell r="E356" t="str">
            <v>Composite Identification</v>
          </cell>
          <cell r="F356" t="str">
            <v xml:space="preserve"> Ply Description</v>
          </cell>
          <cell r="G356" t="str">
            <v>BV Sample Number</v>
          </cell>
          <cell r="H356" t="str">
            <v>Depth From</v>
          </cell>
          <cell r="I356" t="str">
            <v>Depth To</v>
          </cell>
          <cell r="J356" t="str">
            <v>Recovered Thickness</v>
          </cell>
          <cell r="K356" t="str">
            <v>Interval</v>
          </cell>
          <cell r="L356" t="str">
            <v>Sample Type</v>
          </cell>
          <cell r="M356" t="str">
            <v>Initial Mass Tested</v>
          </cell>
          <cell r="O356" t="str">
            <v>Final Mass</v>
          </cell>
          <cell r="P356" t="str">
            <v>Loss / Gain</v>
          </cell>
          <cell r="Q356" t="str">
            <v>Raw Coal Relative Density (calculated)</v>
          </cell>
          <cell r="R356" t="str">
            <v>Raw Coal Moisture (calculated)</v>
          </cell>
          <cell r="S356" t="str">
            <v>Raw Coal Ash (calculated)</v>
          </cell>
          <cell r="T356" t="str">
            <v>Moisture (analysed)</v>
          </cell>
          <cell r="U356" t="str">
            <v>Ash (analysed)</v>
          </cell>
        </row>
        <row r="357">
          <cell r="C357" t="str">
            <v>RC</v>
          </cell>
          <cell r="H357" t="str">
            <v>(m)</v>
          </cell>
          <cell r="I357" t="str">
            <v>(m)</v>
          </cell>
          <cell r="J357" t="str">
            <v>(m)</v>
          </cell>
          <cell r="K357" t="str">
            <v>(m)</v>
          </cell>
          <cell r="M357" t="str">
            <v>(kg)</v>
          </cell>
          <cell r="O357" t="str">
            <v>(kg)</v>
          </cell>
          <cell r="P357" t="str">
            <v>(%)</v>
          </cell>
          <cell r="Q357" t="str">
            <v>(%ad)</v>
          </cell>
          <cell r="R357" t="str">
            <v>(%ad)</v>
          </cell>
          <cell r="S357" t="str">
            <v>(%ad)</v>
          </cell>
          <cell r="T357" t="str">
            <v>(%ad)</v>
          </cell>
          <cell r="U357" t="str">
            <v>(%ad)</v>
          </cell>
        </row>
        <row r="358">
          <cell r="C358" t="str">
            <v>0RC21</v>
          </cell>
          <cell r="E358" t="str">
            <v/>
          </cell>
          <cell r="F358" t="str">
            <v/>
          </cell>
          <cell r="G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e">
            <v>#N/A</v>
          </cell>
          <cell r="O358">
            <v>1E-3</v>
          </cell>
          <cell r="P358" t="e">
            <v>#N/A</v>
          </cell>
          <cell r="Q358" t="str">
            <v/>
          </cell>
          <cell r="R358" t="str">
            <v/>
          </cell>
          <cell r="S358" t="str">
            <v/>
          </cell>
          <cell r="T358" t="str">
            <v/>
          </cell>
          <cell r="U358" t="str">
            <v/>
          </cell>
        </row>
        <row r="360">
          <cell r="E360" t="str">
            <v>Density Fraction</v>
          </cell>
          <cell r="G360" t="str">
            <v>Fractional Analyses</v>
          </cell>
          <cell r="N360" t="str">
            <v>Cumulative Analyses</v>
          </cell>
        </row>
        <row r="361">
          <cell r="G361" t="str">
            <v xml:space="preserve">Mass </v>
          </cell>
          <cell r="H361" t="str">
            <v>Moisture</v>
          </cell>
          <cell r="I361" t="str">
            <v xml:space="preserve">Ash </v>
          </cell>
          <cell r="J361" t="str">
            <v xml:space="preserve">Volatile Matter </v>
          </cell>
          <cell r="K361" t="str">
            <v>Total Sulfur</v>
          </cell>
          <cell r="L361" t="str">
            <v>Calorific Value</v>
          </cell>
          <cell r="M361" t="str">
            <v>Phosphorus In Coal</v>
          </cell>
          <cell r="N361" t="str">
            <v xml:space="preserve">Mass </v>
          </cell>
          <cell r="O361" t="str">
            <v>Moisture</v>
          </cell>
          <cell r="P361" t="str">
            <v>Ash</v>
          </cell>
          <cell r="Q361" t="str">
            <v>Volatile Matter</v>
          </cell>
          <cell r="R361" t="str">
            <v>Total Sulfur</v>
          </cell>
          <cell r="S361" t="str">
            <v>Calorific Value</v>
          </cell>
          <cell r="T361" t="str">
            <v>Phosphorus In Coal</v>
          </cell>
          <cell r="U361" t="str">
            <v>Crucible Swelling Number</v>
          </cell>
        </row>
        <row r="362">
          <cell r="E362" t="str">
            <v>Sinks</v>
          </cell>
          <cell r="F362" t="str">
            <v>Floats</v>
          </cell>
          <cell r="G362" t="str">
            <v>(%)</v>
          </cell>
          <cell r="H362" t="str">
            <v>(%ad)</v>
          </cell>
          <cell r="I362" t="str">
            <v>(%ad)</v>
          </cell>
          <cell r="J362" t="str">
            <v>(%ad)</v>
          </cell>
          <cell r="K362" t="str">
            <v>(%ad)</v>
          </cell>
          <cell r="L362" t="str">
            <v>(MJ/kg ad)</v>
          </cell>
          <cell r="M362" t="str">
            <v>(%db)</v>
          </cell>
          <cell r="N362" t="str">
            <v>(%)</v>
          </cell>
          <cell r="O362" t="str">
            <v>(%ad)</v>
          </cell>
          <cell r="P362" t="str">
            <v>(%ad)</v>
          </cell>
          <cell r="Q362" t="str">
            <v>(%ad)</v>
          </cell>
          <cell r="R362" t="str">
            <v>(%ad)</v>
          </cell>
          <cell r="S362" t="str">
            <v>(MJ/kg ad)</v>
          </cell>
          <cell r="T362" t="str">
            <v>(%db)</v>
          </cell>
        </row>
        <row r="363">
          <cell r="C363" t="str">
            <v>FS</v>
          </cell>
        </row>
        <row r="364">
          <cell r="C364" t="str">
            <v>0FS21F</v>
          </cell>
          <cell r="F364" t="str">
            <v/>
          </cell>
          <cell r="G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  <cell r="N364" t="str">
            <v/>
          </cell>
          <cell r="O364" t="str">
            <v/>
          </cell>
          <cell r="P364" t="str">
            <v/>
          </cell>
          <cell r="Q364" t="str">
            <v/>
          </cell>
          <cell r="R364" t="str">
            <v/>
          </cell>
          <cell r="S364" t="str">
            <v/>
          </cell>
          <cell r="T364" t="str">
            <v/>
          </cell>
          <cell r="U364" t="str">
            <v/>
          </cell>
        </row>
        <row r="365">
          <cell r="C365" t="str">
            <v>0FS21F</v>
          </cell>
          <cell r="E365" t="str">
            <v/>
          </cell>
          <cell r="F365" t="str">
            <v/>
          </cell>
          <cell r="G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  <cell r="N365" t="str">
            <v/>
          </cell>
          <cell r="O365" t="str">
            <v/>
          </cell>
          <cell r="P365" t="str">
            <v/>
          </cell>
          <cell r="Q365" t="str">
            <v/>
          </cell>
          <cell r="R365" t="str">
            <v/>
          </cell>
          <cell r="S365" t="str">
            <v/>
          </cell>
          <cell r="T365" t="str">
            <v/>
          </cell>
          <cell r="U365" t="str">
            <v/>
          </cell>
        </row>
        <row r="366">
          <cell r="C366" t="str">
            <v>0FS21F1</v>
          </cell>
          <cell r="E366" t="str">
            <v/>
          </cell>
          <cell r="F366" t="str">
            <v/>
          </cell>
          <cell r="G366">
            <v>100</v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  <cell r="N366">
            <v>100</v>
          </cell>
          <cell r="O366" t="str">
            <v/>
          </cell>
          <cell r="P366" t="str">
            <v/>
          </cell>
          <cell r="Q366" t="str">
            <v/>
          </cell>
          <cell r="R366" t="str">
            <v/>
          </cell>
          <cell r="S366" t="str">
            <v/>
          </cell>
          <cell r="T366" t="str">
            <v/>
          </cell>
          <cell r="U366" t="str">
            <v/>
          </cell>
        </row>
        <row r="367">
          <cell r="C367" t="str">
            <v>0FS21F2</v>
          </cell>
          <cell r="E367" t="str">
            <v/>
          </cell>
          <cell r="F367" t="str">
            <v/>
          </cell>
          <cell r="G367">
            <v>0</v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  <cell r="N367">
            <v>100</v>
          </cell>
          <cell r="O367" t="str">
            <v/>
          </cell>
          <cell r="P367" t="str">
            <v/>
          </cell>
          <cell r="Q367" t="str">
            <v/>
          </cell>
          <cell r="R367" t="str">
            <v/>
          </cell>
          <cell r="S367" t="str">
            <v/>
          </cell>
          <cell r="T367" t="str">
            <v/>
          </cell>
          <cell r="U367" t="str">
            <v/>
          </cell>
        </row>
        <row r="368">
          <cell r="C368" t="str">
            <v>0FS21F3</v>
          </cell>
          <cell r="E368" t="str">
            <v/>
          </cell>
          <cell r="F368" t="str">
            <v/>
          </cell>
          <cell r="G368">
            <v>0</v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  <cell r="N368">
            <v>100</v>
          </cell>
          <cell r="O368" t="str">
            <v/>
          </cell>
          <cell r="P368" t="str">
            <v/>
          </cell>
          <cell r="Q368" t="str">
            <v/>
          </cell>
          <cell r="R368" t="str">
            <v/>
          </cell>
          <cell r="S368" t="str">
            <v/>
          </cell>
          <cell r="T368" t="str">
            <v/>
          </cell>
          <cell r="U368" t="str">
            <v/>
          </cell>
        </row>
        <row r="369">
          <cell r="C369" t="str">
            <v>0FS21F4</v>
          </cell>
          <cell r="E369" t="str">
            <v/>
          </cell>
          <cell r="F369" t="str">
            <v/>
          </cell>
          <cell r="G369">
            <v>0</v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  <cell r="N369">
            <v>100</v>
          </cell>
          <cell r="O369" t="str">
            <v/>
          </cell>
          <cell r="P369" t="str">
            <v/>
          </cell>
          <cell r="Q369" t="str">
            <v/>
          </cell>
          <cell r="R369" t="str">
            <v/>
          </cell>
          <cell r="S369" t="str">
            <v/>
          </cell>
          <cell r="T369" t="str">
            <v/>
          </cell>
          <cell r="U369" t="str">
            <v/>
          </cell>
        </row>
        <row r="370">
          <cell r="C370" t="str">
            <v>0FS21F5</v>
          </cell>
          <cell r="E370" t="str">
            <v/>
          </cell>
          <cell r="F370" t="str">
            <v/>
          </cell>
          <cell r="G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  <cell r="N370" t="str">
            <v/>
          </cell>
          <cell r="O370" t="str">
            <v/>
          </cell>
          <cell r="P370" t="str">
            <v/>
          </cell>
          <cell r="Q370" t="str">
            <v/>
          </cell>
          <cell r="R370" t="str">
            <v/>
          </cell>
          <cell r="S370" t="str">
            <v/>
          </cell>
          <cell r="T370" t="str">
            <v/>
          </cell>
          <cell r="U370" t="str">
            <v/>
          </cell>
        </row>
        <row r="371">
          <cell r="C371" t="str">
            <v>0FS21F6</v>
          </cell>
          <cell r="E371" t="str">
            <v/>
          </cell>
          <cell r="F371" t="str">
            <v/>
          </cell>
          <cell r="G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  <cell r="N371" t="str">
            <v/>
          </cell>
          <cell r="O371" t="str">
            <v/>
          </cell>
          <cell r="P371" t="str">
            <v/>
          </cell>
          <cell r="Q371" t="str">
            <v/>
          </cell>
          <cell r="R371" t="str">
            <v/>
          </cell>
          <cell r="S371" t="str">
            <v/>
          </cell>
          <cell r="T371" t="str">
            <v/>
          </cell>
          <cell r="U371" t="str">
            <v/>
          </cell>
        </row>
        <row r="373">
          <cell r="E373" t="str">
            <v>Composite Identification</v>
          </cell>
          <cell r="F373" t="str">
            <v xml:space="preserve"> Ply Description</v>
          </cell>
          <cell r="G373" t="str">
            <v>BV Sample Number</v>
          </cell>
          <cell r="H373" t="str">
            <v>Depth From</v>
          </cell>
          <cell r="I373" t="str">
            <v>Depth To</v>
          </cell>
          <cell r="J373" t="str">
            <v>Recovered Thickness</v>
          </cell>
          <cell r="K373" t="str">
            <v>Interval</v>
          </cell>
          <cell r="L373" t="str">
            <v>Sample Type</v>
          </cell>
          <cell r="M373" t="str">
            <v>Initial Mass Tested</v>
          </cell>
          <cell r="O373" t="str">
            <v>Final Mass</v>
          </cell>
          <cell r="P373" t="str">
            <v>Loss / Gain</v>
          </cell>
          <cell r="Q373" t="str">
            <v>Raw Coal Relative Density (calculated)</v>
          </cell>
          <cell r="R373" t="str">
            <v>Raw Coal Moisture (calculated)</v>
          </cell>
          <cell r="S373" t="str">
            <v>Raw Coal Ash (calculated)</v>
          </cell>
          <cell r="T373" t="str">
            <v>Moisture (analysed)</v>
          </cell>
          <cell r="U373" t="str">
            <v>Ash (analysed)</v>
          </cell>
        </row>
        <row r="374">
          <cell r="C374" t="str">
            <v>RC</v>
          </cell>
          <cell r="H374" t="str">
            <v>(m)</v>
          </cell>
          <cell r="I374" t="str">
            <v>(m)</v>
          </cell>
          <cell r="J374" t="str">
            <v>(m)</v>
          </cell>
          <cell r="K374" t="str">
            <v>(m)</v>
          </cell>
          <cell r="M374" t="str">
            <v>(kg)</v>
          </cell>
          <cell r="O374" t="str">
            <v>(kg)</v>
          </cell>
          <cell r="P374" t="str">
            <v>(%)</v>
          </cell>
          <cell r="Q374" t="str">
            <v>(%ad)</v>
          </cell>
          <cell r="R374" t="str">
            <v>(%ad)</v>
          </cell>
          <cell r="S374" t="str">
            <v>(%ad)</v>
          </cell>
          <cell r="T374" t="str">
            <v>(%ad)</v>
          </cell>
          <cell r="U374" t="str">
            <v>(%ad)</v>
          </cell>
        </row>
        <row r="375">
          <cell r="C375" t="str">
            <v>0RC22</v>
          </cell>
          <cell r="E375" t="str">
            <v/>
          </cell>
          <cell r="F375" t="str">
            <v/>
          </cell>
          <cell r="G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e">
            <v>#N/A</v>
          </cell>
          <cell r="O375">
            <v>1E-3</v>
          </cell>
          <cell r="P375" t="e">
            <v>#N/A</v>
          </cell>
          <cell r="Q375" t="str">
            <v/>
          </cell>
          <cell r="R375" t="str">
            <v/>
          </cell>
          <cell r="S375" t="str">
            <v/>
          </cell>
          <cell r="T375" t="str">
            <v/>
          </cell>
          <cell r="U375" t="str">
            <v/>
          </cell>
        </row>
        <row r="377">
          <cell r="E377" t="str">
            <v>Density Fraction</v>
          </cell>
          <cell r="G377" t="str">
            <v>Fractional Analyses</v>
          </cell>
          <cell r="N377" t="str">
            <v>Cumulative Analyses</v>
          </cell>
        </row>
        <row r="378">
          <cell r="G378" t="str">
            <v xml:space="preserve">Mass </v>
          </cell>
          <cell r="H378" t="str">
            <v>Moisture</v>
          </cell>
          <cell r="I378" t="str">
            <v xml:space="preserve">Ash </v>
          </cell>
          <cell r="J378" t="str">
            <v xml:space="preserve">Volatile Matter </v>
          </cell>
          <cell r="K378" t="str">
            <v>Total Sulfur</v>
          </cell>
          <cell r="L378" t="str">
            <v>Calorific Value</v>
          </cell>
          <cell r="M378" t="str">
            <v>Phosphorus In Coal</v>
          </cell>
          <cell r="N378" t="str">
            <v xml:space="preserve">Mass </v>
          </cell>
          <cell r="O378" t="str">
            <v>Moisture</v>
          </cell>
          <cell r="P378" t="str">
            <v>Ash</v>
          </cell>
          <cell r="Q378" t="str">
            <v>Volatile Matter</v>
          </cell>
          <cell r="R378" t="str">
            <v>Total Sulfur</v>
          </cell>
          <cell r="S378" t="str">
            <v>Calorific Value</v>
          </cell>
          <cell r="T378" t="str">
            <v>Phosphorus In Coal</v>
          </cell>
          <cell r="U378" t="str">
            <v>Crucible Swelling Number</v>
          </cell>
        </row>
        <row r="379">
          <cell r="E379" t="str">
            <v>Sinks</v>
          </cell>
          <cell r="F379" t="str">
            <v>Floats</v>
          </cell>
          <cell r="G379" t="str">
            <v>(%)</v>
          </cell>
          <cell r="H379" t="str">
            <v>(%ad)</v>
          </cell>
          <cell r="I379" t="str">
            <v>(%ad)</v>
          </cell>
          <cell r="J379" t="str">
            <v>(%ad)</v>
          </cell>
          <cell r="K379" t="str">
            <v>(%ad)</v>
          </cell>
          <cell r="L379" t="str">
            <v>(MJ/kg ad)</v>
          </cell>
          <cell r="M379" t="str">
            <v>(%db)</v>
          </cell>
          <cell r="N379" t="str">
            <v>(%)</v>
          </cell>
          <cell r="O379" t="str">
            <v>(%ad)</v>
          </cell>
          <cell r="P379" t="str">
            <v>(%ad)</v>
          </cell>
          <cell r="Q379" t="str">
            <v>(%ad)</v>
          </cell>
          <cell r="R379" t="str">
            <v>(%ad)</v>
          </cell>
          <cell r="S379" t="str">
            <v>(MJ/kg ad)</v>
          </cell>
          <cell r="T379" t="str">
            <v>(%db)</v>
          </cell>
        </row>
        <row r="380">
          <cell r="C380" t="str">
            <v>FS</v>
          </cell>
        </row>
        <row r="381">
          <cell r="C381" t="str">
            <v>0FS22F</v>
          </cell>
          <cell r="F381" t="str">
            <v/>
          </cell>
          <cell r="G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  <cell r="N381" t="str">
            <v/>
          </cell>
          <cell r="O381" t="str">
            <v/>
          </cell>
          <cell r="P381" t="str">
            <v/>
          </cell>
          <cell r="Q381" t="str">
            <v/>
          </cell>
          <cell r="R381" t="str">
            <v/>
          </cell>
          <cell r="S381" t="str">
            <v/>
          </cell>
          <cell r="T381" t="str">
            <v/>
          </cell>
          <cell r="U381" t="str">
            <v/>
          </cell>
        </row>
        <row r="382">
          <cell r="C382" t="str">
            <v>0FS22F</v>
          </cell>
          <cell r="E382" t="str">
            <v/>
          </cell>
          <cell r="F382" t="str">
            <v/>
          </cell>
          <cell r="G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  <cell r="N382" t="str">
            <v/>
          </cell>
          <cell r="O382" t="str">
            <v/>
          </cell>
          <cell r="P382" t="str">
            <v/>
          </cell>
          <cell r="Q382" t="str">
            <v/>
          </cell>
          <cell r="R382" t="str">
            <v/>
          </cell>
          <cell r="S382" t="str">
            <v/>
          </cell>
          <cell r="T382" t="str">
            <v/>
          </cell>
          <cell r="U382" t="str">
            <v/>
          </cell>
        </row>
        <row r="383">
          <cell r="C383" t="str">
            <v>0FS22F1</v>
          </cell>
          <cell r="E383" t="str">
            <v/>
          </cell>
          <cell r="F383" t="str">
            <v/>
          </cell>
          <cell r="G383">
            <v>100</v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  <cell r="N383">
            <v>100</v>
          </cell>
          <cell r="O383" t="str">
            <v/>
          </cell>
          <cell r="P383" t="str">
            <v/>
          </cell>
          <cell r="Q383" t="str">
            <v/>
          </cell>
          <cell r="R383" t="str">
            <v/>
          </cell>
          <cell r="S383" t="str">
            <v/>
          </cell>
          <cell r="T383" t="str">
            <v/>
          </cell>
          <cell r="U383" t="str">
            <v/>
          </cell>
        </row>
        <row r="384">
          <cell r="C384" t="str">
            <v>0FS22F2</v>
          </cell>
          <cell r="E384" t="str">
            <v/>
          </cell>
          <cell r="F384" t="str">
            <v/>
          </cell>
          <cell r="G384">
            <v>0</v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  <cell r="N384">
            <v>100</v>
          </cell>
          <cell r="O384" t="str">
            <v/>
          </cell>
          <cell r="P384" t="str">
            <v/>
          </cell>
          <cell r="Q384" t="str">
            <v/>
          </cell>
          <cell r="R384" t="str">
            <v/>
          </cell>
          <cell r="S384" t="str">
            <v/>
          </cell>
          <cell r="T384" t="str">
            <v/>
          </cell>
          <cell r="U384" t="str">
            <v/>
          </cell>
        </row>
        <row r="385">
          <cell r="C385" t="str">
            <v>0FS22F3</v>
          </cell>
          <cell r="E385" t="str">
            <v/>
          </cell>
          <cell r="F385" t="str">
            <v/>
          </cell>
          <cell r="G385">
            <v>0</v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  <cell r="N385">
            <v>100</v>
          </cell>
          <cell r="O385" t="str">
            <v/>
          </cell>
          <cell r="P385" t="str">
            <v/>
          </cell>
          <cell r="Q385" t="str">
            <v/>
          </cell>
          <cell r="R385" t="str">
            <v/>
          </cell>
          <cell r="S385" t="str">
            <v/>
          </cell>
          <cell r="T385" t="str">
            <v/>
          </cell>
          <cell r="U385" t="str">
            <v/>
          </cell>
        </row>
        <row r="386">
          <cell r="C386" t="str">
            <v>0FS22F4</v>
          </cell>
          <cell r="E386" t="str">
            <v/>
          </cell>
          <cell r="F386" t="str">
            <v/>
          </cell>
          <cell r="G386">
            <v>0</v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  <cell r="N386">
            <v>100</v>
          </cell>
          <cell r="O386" t="str">
            <v/>
          </cell>
          <cell r="P386" t="str">
            <v/>
          </cell>
          <cell r="Q386" t="str">
            <v/>
          </cell>
          <cell r="R386" t="str">
            <v/>
          </cell>
          <cell r="S386" t="str">
            <v/>
          </cell>
          <cell r="T386" t="str">
            <v/>
          </cell>
          <cell r="U386" t="str">
            <v/>
          </cell>
        </row>
        <row r="387">
          <cell r="C387" t="str">
            <v>0FS22F5</v>
          </cell>
          <cell r="E387" t="str">
            <v/>
          </cell>
          <cell r="F387" t="str">
            <v/>
          </cell>
          <cell r="G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  <cell r="N387" t="str">
            <v/>
          </cell>
          <cell r="O387" t="str">
            <v/>
          </cell>
          <cell r="P387" t="str">
            <v/>
          </cell>
          <cell r="Q387" t="str">
            <v/>
          </cell>
          <cell r="R387" t="str">
            <v/>
          </cell>
          <cell r="S387" t="str">
            <v/>
          </cell>
          <cell r="T387" t="str">
            <v/>
          </cell>
          <cell r="U387" t="str">
            <v/>
          </cell>
        </row>
        <row r="388">
          <cell r="C388" t="str">
            <v>0FS22F6</v>
          </cell>
          <cell r="E388" t="str">
            <v/>
          </cell>
          <cell r="F388" t="str">
            <v/>
          </cell>
          <cell r="G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  <cell r="N388" t="str">
            <v/>
          </cell>
          <cell r="O388" t="str">
            <v/>
          </cell>
          <cell r="P388" t="str">
            <v/>
          </cell>
          <cell r="Q388" t="str">
            <v/>
          </cell>
          <cell r="R388" t="str">
            <v/>
          </cell>
          <cell r="S388" t="str">
            <v/>
          </cell>
          <cell r="T388" t="str">
            <v/>
          </cell>
          <cell r="U388" t="str">
            <v/>
          </cell>
        </row>
        <row r="391">
          <cell r="C391" t="str">
            <v/>
          </cell>
          <cell r="E391" t="str">
            <v>Composite Identification</v>
          </cell>
          <cell r="F391" t="str">
            <v xml:space="preserve"> Ply Description</v>
          </cell>
          <cell r="G391" t="str">
            <v>BV Sample Number</v>
          </cell>
          <cell r="H391" t="str">
            <v>Depth From</v>
          </cell>
          <cell r="I391" t="str">
            <v>Depth To</v>
          </cell>
          <cell r="J391" t="str">
            <v>Recovered Thickness</v>
          </cell>
          <cell r="K391" t="str">
            <v>Interval</v>
          </cell>
          <cell r="L391" t="str">
            <v>Sample Type</v>
          </cell>
          <cell r="M391" t="str">
            <v>Initial Mass Tested</v>
          </cell>
          <cell r="O391" t="str">
            <v>Final Mass</v>
          </cell>
          <cell r="P391" t="str">
            <v>Loss / Gain</v>
          </cell>
          <cell r="Q391" t="str">
            <v>Raw Coal Relative Density (calculated)</v>
          </cell>
          <cell r="R391" t="str">
            <v>Raw Coal Moisture (calculated)</v>
          </cell>
          <cell r="S391" t="str">
            <v>Raw Coal Ash (calculated)</v>
          </cell>
          <cell r="T391" t="str">
            <v>Moisture (analysed)</v>
          </cell>
          <cell r="U391" t="str">
            <v>Ash (analysed)</v>
          </cell>
        </row>
        <row r="392">
          <cell r="C392" t="str">
            <v>RC</v>
          </cell>
          <cell r="H392" t="str">
            <v>(m)</v>
          </cell>
          <cell r="I392" t="str">
            <v>(m)</v>
          </cell>
          <cell r="J392" t="str">
            <v>(m)</v>
          </cell>
          <cell r="K392" t="str">
            <v>(m)</v>
          </cell>
          <cell r="M392" t="str">
            <v>(kg)</v>
          </cell>
          <cell r="O392" t="str">
            <v>(kg)</v>
          </cell>
          <cell r="P392" t="str">
            <v>(%)</v>
          </cell>
          <cell r="Q392" t="str">
            <v>(%ad)</v>
          </cell>
          <cell r="R392" t="str">
            <v>(%ad)</v>
          </cell>
          <cell r="S392" t="str">
            <v>(%ad)</v>
          </cell>
          <cell r="T392" t="str">
            <v>(%ad)</v>
          </cell>
          <cell r="U392" t="str">
            <v>(%ad)</v>
          </cell>
        </row>
        <row r="393">
          <cell r="C393" t="str">
            <v>0RC23</v>
          </cell>
          <cell r="E393" t="str">
            <v/>
          </cell>
          <cell r="F393" t="str">
            <v/>
          </cell>
          <cell r="G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e">
            <v>#N/A</v>
          </cell>
          <cell r="O393">
            <v>1E-3</v>
          </cell>
          <cell r="P393" t="e">
            <v>#N/A</v>
          </cell>
          <cell r="Q393" t="str">
            <v/>
          </cell>
          <cell r="R393" t="str">
            <v/>
          </cell>
          <cell r="S393" t="str">
            <v/>
          </cell>
          <cell r="T393" t="str">
            <v/>
          </cell>
          <cell r="U393" t="str">
            <v/>
          </cell>
        </row>
        <row r="395">
          <cell r="E395" t="str">
            <v>Density Fraction</v>
          </cell>
          <cell r="G395" t="str">
            <v>Fractional Analyses</v>
          </cell>
          <cell r="N395" t="str">
            <v>Cumulative Analyses</v>
          </cell>
        </row>
        <row r="396">
          <cell r="G396" t="str">
            <v xml:space="preserve">Mass </v>
          </cell>
          <cell r="H396" t="str">
            <v>Moisture</v>
          </cell>
          <cell r="I396" t="str">
            <v xml:space="preserve">Ash </v>
          </cell>
          <cell r="J396" t="str">
            <v xml:space="preserve">Volatile Matter </v>
          </cell>
          <cell r="K396" t="str">
            <v>Total Sulfur</v>
          </cell>
          <cell r="L396" t="str">
            <v>Calorific Value</v>
          </cell>
          <cell r="M396" t="str">
            <v>Phosphorus In Coal</v>
          </cell>
          <cell r="N396" t="str">
            <v xml:space="preserve">Mass </v>
          </cell>
          <cell r="O396" t="str">
            <v>Moisture</v>
          </cell>
          <cell r="P396" t="str">
            <v>Ash</v>
          </cell>
          <cell r="Q396" t="str">
            <v>Volatile Matter</v>
          </cell>
          <cell r="R396" t="str">
            <v>Total Sulfur</v>
          </cell>
          <cell r="S396" t="str">
            <v>Calorific Value</v>
          </cell>
          <cell r="T396" t="str">
            <v>Phosphorus In Coal</v>
          </cell>
          <cell r="U396" t="str">
            <v>Crucible Swelling Number</v>
          </cell>
        </row>
        <row r="397">
          <cell r="E397" t="str">
            <v>Sinks</v>
          </cell>
          <cell r="F397" t="str">
            <v>Floats</v>
          </cell>
          <cell r="G397" t="str">
            <v>(%)</v>
          </cell>
          <cell r="H397" t="str">
            <v>(%ad)</v>
          </cell>
          <cell r="I397" t="str">
            <v>(%ad)</v>
          </cell>
          <cell r="J397" t="str">
            <v>(%ad)</v>
          </cell>
          <cell r="K397" t="str">
            <v>(%ad)</v>
          </cell>
          <cell r="L397" t="str">
            <v>(MJ/kg ad)</v>
          </cell>
          <cell r="M397" t="str">
            <v>(%db)</v>
          </cell>
          <cell r="N397" t="str">
            <v>(%)</v>
          </cell>
          <cell r="O397" t="str">
            <v>(%ad)</v>
          </cell>
          <cell r="P397" t="str">
            <v>(%ad)</v>
          </cell>
          <cell r="Q397" t="str">
            <v>(%ad)</v>
          </cell>
          <cell r="R397" t="str">
            <v>(%ad)</v>
          </cell>
          <cell r="S397" t="str">
            <v>(MJ/kg ad)</v>
          </cell>
          <cell r="T397" t="str">
            <v>(%db)</v>
          </cell>
        </row>
        <row r="398">
          <cell r="C398" t="str">
            <v>FS</v>
          </cell>
        </row>
        <row r="399">
          <cell r="C399" t="str">
            <v>0FS23F</v>
          </cell>
          <cell r="F399" t="str">
            <v/>
          </cell>
          <cell r="G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  <cell r="N399" t="str">
            <v/>
          </cell>
          <cell r="O399" t="str">
            <v/>
          </cell>
          <cell r="P399" t="str">
            <v/>
          </cell>
          <cell r="Q399" t="str">
            <v/>
          </cell>
          <cell r="R399" t="str">
            <v/>
          </cell>
          <cell r="S399" t="str">
            <v/>
          </cell>
          <cell r="T399" t="str">
            <v/>
          </cell>
          <cell r="U399" t="str">
            <v/>
          </cell>
        </row>
        <row r="400">
          <cell r="C400" t="str">
            <v>0FS23F</v>
          </cell>
          <cell r="E400" t="str">
            <v/>
          </cell>
          <cell r="F400" t="str">
            <v/>
          </cell>
          <cell r="G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  <cell r="N400" t="str">
            <v/>
          </cell>
          <cell r="O400" t="str">
            <v/>
          </cell>
          <cell r="P400" t="str">
            <v/>
          </cell>
          <cell r="Q400" t="str">
            <v/>
          </cell>
          <cell r="R400" t="str">
            <v/>
          </cell>
          <cell r="S400" t="str">
            <v/>
          </cell>
          <cell r="T400" t="str">
            <v/>
          </cell>
          <cell r="U400" t="str">
            <v/>
          </cell>
        </row>
        <row r="401">
          <cell r="C401" t="str">
            <v>0FS23F1</v>
          </cell>
          <cell r="E401" t="str">
            <v/>
          </cell>
          <cell r="F401" t="str">
            <v/>
          </cell>
          <cell r="G401">
            <v>100</v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  <cell r="N401">
            <v>100</v>
          </cell>
          <cell r="O401" t="str">
            <v/>
          </cell>
          <cell r="P401" t="str">
            <v/>
          </cell>
          <cell r="Q401" t="str">
            <v/>
          </cell>
          <cell r="R401" t="str">
            <v/>
          </cell>
          <cell r="S401" t="str">
            <v/>
          </cell>
          <cell r="T401" t="str">
            <v/>
          </cell>
          <cell r="U401" t="str">
            <v/>
          </cell>
        </row>
        <row r="402">
          <cell r="C402" t="str">
            <v>0FS23F2</v>
          </cell>
          <cell r="E402" t="str">
            <v/>
          </cell>
          <cell r="F402" t="str">
            <v/>
          </cell>
          <cell r="G402">
            <v>0</v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  <cell r="N402">
            <v>100</v>
          </cell>
          <cell r="O402" t="str">
            <v/>
          </cell>
          <cell r="P402" t="str">
            <v/>
          </cell>
          <cell r="Q402" t="str">
            <v/>
          </cell>
          <cell r="R402" t="str">
            <v/>
          </cell>
          <cell r="S402" t="str">
            <v/>
          </cell>
          <cell r="T402" t="str">
            <v/>
          </cell>
          <cell r="U402" t="str">
            <v/>
          </cell>
        </row>
        <row r="403">
          <cell r="C403" t="str">
            <v>0FS23F3</v>
          </cell>
          <cell r="E403" t="str">
            <v/>
          </cell>
          <cell r="F403" t="str">
            <v/>
          </cell>
          <cell r="G403">
            <v>0</v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  <cell r="N403">
            <v>100</v>
          </cell>
          <cell r="O403" t="str">
            <v/>
          </cell>
          <cell r="P403" t="str">
            <v/>
          </cell>
          <cell r="Q403" t="str">
            <v/>
          </cell>
          <cell r="R403" t="str">
            <v/>
          </cell>
          <cell r="S403" t="str">
            <v/>
          </cell>
          <cell r="T403" t="str">
            <v/>
          </cell>
          <cell r="U403" t="str">
            <v/>
          </cell>
        </row>
        <row r="404">
          <cell r="C404" t="str">
            <v>0FS23F4</v>
          </cell>
          <cell r="E404" t="str">
            <v/>
          </cell>
          <cell r="F404" t="str">
            <v/>
          </cell>
          <cell r="G404">
            <v>0</v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  <cell r="N404">
            <v>100</v>
          </cell>
          <cell r="O404" t="str">
            <v/>
          </cell>
          <cell r="P404" t="str">
            <v/>
          </cell>
          <cell r="Q404" t="str">
            <v/>
          </cell>
          <cell r="R404" t="str">
            <v/>
          </cell>
          <cell r="S404" t="str">
            <v/>
          </cell>
          <cell r="T404" t="str">
            <v/>
          </cell>
          <cell r="U404" t="str">
            <v/>
          </cell>
        </row>
        <row r="405">
          <cell r="C405" t="str">
            <v>0FS23F5</v>
          </cell>
          <cell r="E405" t="str">
            <v/>
          </cell>
          <cell r="F405" t="str">
            <v/>
          </cell>
          <cell r="G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  <cell r="N405" t="str">
            <v/>
          </cell>
          <cell r="O405" t="str">
            <v/>
          </cell>
          <cell r="P405" t="str">
            <v/>
          </cell>
          <cell r="Q405" t="str">
            <v/>
          </cell>
          <cell r="R405" t="str">
            <v/>
          </cell>
          <cell r="S405" t="str">
            <v/>
          </cell>
          <cell r="T405" t="str">
            <v/>
          </cell>
          <cell r="U405" t="str">
            <v/>
          </cell>
        </row>
        <row r="406">
          <cell r="C406" t="str">
            <v>0FS23F6</v>
          </cell>
          <cell r="E406" t="str">
            <v/>
          </cell>
          <cell r="F406" t="str">
            <v/>
          </cell>
          <cell r="G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  <cell r="N406" t="str">
            <v/>
          </cell>
          <cell r="O406" t="str">
            <v/>
          </cell>
          <cell r="P406" t="str">
            <v/>
          </cell>
          <cell r="Q406" t="str">
            <v/>
          </cell>
          <cell r="R406" t="str">
            <v/>
          </cell>
          <cell r="S406" t="str">
            <v/>
          </cell>
          <cell r="T406" t="str">
            <v/>
          </cell>
          <cell r="U406" t="str">
            <v/>
          </cell>
        </row>
        <row r="408">
          <cell r="E408" t="str">
            <v>Composite Identification</v>
          </cell>
          <cell r="F408" t="str">
            <v xml:space="preserve"> Ply Description</v>
          </cell>
          <cell r="G408" t="str">
            <v>BV Sample Number</v>
          </cell>
          <cell r="H408" t="str">
            <v>Depth From</v>
          </cell>
          <cell r="I408" t="str">
            <v>Depth To</v>
          </cell>
          <cell r="J408" t="str">
            <v>Recovered Thickness</v>
          </cell>
          <cell r="K408" t="str">
            <v>Interval</v>
          </cell>
          <cell r="L408" t="str">
            <v>Sample Type</v>
          </cell>
          <cell r="M408" t="str">
            <v>Initial Mass Tested</v>
          </cell>
          <cell r="O408" t="str">
            <v>Final Mass</v>
          </cell>
          <cell r="P408" t="str">
            <v>Loss / Gain</v>
          </cell>
          <cell r="Q408" t="str">
            <v>Raw Coal Relative Density (calculated)</v>
          </cell>
          <cell r="R408" t="str">
            <v>Raw Coal Moisture (calculated)</v>
          </cell>
          <cell r="S408" t="str">
            <v>Raw Coal Ash (calculated)</v>
          </cell>
          <cell r="T408" t="str">
            <v>Moisture (analysed)</v>
          </cell>
          <cell r="U408" t="str">
            <v>Ash (analysed)</v>
          </cell>
        </row>
        <row r="409">
          <cell r="C409" t="str">
            <v>RC</v>
          </cell>
          <cell r="H409" t="str">
            <v>(m)</v>
          </cell>
          <cell r="I409" t="str">
            <v>(m)</v>
          </cell>
          <cell r="J409" t="str">
            <v>(m)</v>
          </cell>
          <cell r="K409" t="str">
            <v>(m)</v>
          </cell>
          <cell r="M409" t="str">
            <v>(kg)</v>
          </cell>
          <cell r="O409" t="str">
            <v>(kg)</v>
          </cell>
          <cell r="P409" t="str">
            <v>(%)</v>
          </cell>
          <cell r="Q409" t="str">
            <v>(%ad)</v>
          </cell>
          <cell r="R409" t="str">
            <v>(%ad)</v>
          </cell>
          <cell r="S409" t="str">
            <v>(%ad)</v>
          </cell>
          <cell r="T409" t="str">
            <v>(%ad)</v>
          </cell>
          <cell r="U409" t="str">
            <v>(%ad)</v>
          </cell>
        </row>
        <row r="410">
          <cell r="C410" t="str">
            <v>0RC24</v>
          </cell>
          <cell r="E410" t="str">
            <v/>
          </cell>
          <cell r="F410" t="str">
            <v/>
          </cell>
          <cell r="G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e">
            <v>#N/A</v>
          </cell>
          <cell r="O410">
            <v>1E-3</v>
          </cell>
          <cell r="P410" t="e">
            <v>#N/A</v>
          </cell>
          <cell r="Q410" t="str">
            <v/>
          </cell>
          <cell r="R410" t="str">
            <v/>
          </cell>
          <cell r="S410" t="str">
            <v/>
          </cell>
          <cell r="T410" t="str">
            <v/>
          </cell>
          <cell r="U410" t="str">
            <v/>
          </cell>
        </row>
        <row r="412">
          <cell r="E412" t="str">
            <v>Density Fraction</v>
          </cell>
          <cell r="G412" t="str">
            <v>Fractional Analyses</v>
          </cell>
          <cell r="N412" t="str">
            <v>Cumulative Analyses</v>
          </cell>
        </row>
        <row r="413">
          <cell r="G413" t="str">
            <v xml:space="preserve">Mass </v>
          </cell>
          <cell r="H413" t="str">
            <v>Moisture</v>
          </cell>
          <cell r="I413" t="str">
            <v xml:space="preserve">Ash </v>
          </cell>
          <cell r="J413" t="str">
            <v xml:space="preserve">Volatile Matter </v>
          </cell>
          <cell r="K413" t="str">
            <v>Total Sulfur</v>
          </cell>
          <cell r="L413" t="str">
            <v>Calorific Value</v>
          </cell>
          <cell r="M413" t="str">
            <v>Phosphorus In Coal</v>
          </cell>
          <cell r="N413" t="str">
            <v xml:space="preserve">Mass </v>
          </cell>
          <cell r="O413" t="str">
            <v>Moisture</v>
          </cell>
          <cell r="P413" t="str">
            <v>Ash</v>
          </cell>
          <cell r="Q413" t="str">
            <v>Volatile Matter</v>
          </cell>
          <cell r="R413" t="str">
            <v>Total Sulfur</v>
          </cell>
          <cell r="S413" t="str">
            <v>Calorific Value</v>
          </cell>
          <cell r="T413" t="str">
            <v>Phosphorus In Coal</v>
          </cell>
          <cell r="U413" t="str">
            <v>Crucible Swelling Number</v>
          </cell>
        </row>
        <row r="414">
          <cell r="E414" t="str">
            <v>Sinks</v>
          </cell>
          <cell r="F414" t="str">
            <v>Floats</v>
          </cell>
          <cell r="G414" t="str">
            <v>(%)</v>
          </cell>
          <cell r="H414" t="str">
            <v>(%ad)</v>
          </cell>
          <cell r="I414" t="str">
            <v>(%ad)</v>
          </cell>
          <cell r="J414" t="str">
            <v>(%ad)</v>
          </cell>
          <cell r="K414" t="str">
            <v>(%ad)</v>
          </cell>
          <cell r="L414" t="str">
            <v>(MJ/kg ad)</v>
          </cell>
          <cell r="M414" t="str">
            <v>(%db)</v>
          </cell>
          <cell r="N414" t="str">
            <v>(%)</v>
          </cell>
          <cell r="O414" t="str">
            <v>(%ad)</v>
          </cell>
          <cell r="P414" t="str">
            <v>(%ad)</v>
          </cell>
          <cell r="Q414" t="str">
            <v>(%ad)</v>
          </cell>
          <cell r="R414" t="str">
            <v>(%ad)</v>
          </cell>
          <cell r="S414" t="str">
            <v>(MJ/kg ad)</v>
          </cell>
          <cell r="T414" t="str">
            <v>(%db)</v>
          </cell>
        </row>
        <row r="415">
          <cell r="C415" t="str">
            <v>FS</v>
          </cell>
        </row>
        <row r="416">
          <cell r="C416" t="str">
            <v>0FS24F</v>
          </cell>
          <cell r="F416" t="str">
            <v/>
          </cell>
          <cell r="G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  <cell r="N416" t="str">
            <v/>
          </cell>
          <cell r="O416" t="str">
            <v/>
          </cell>
          <cell r="P416" t="str">
            <v/>
          </cell>
          <cell r="Q416" t="str">
            <v/>
          </cell>
          <cell r="R416" t="str">
            <v/>
          </cell>
          <cell r="S416" t="str">
            <v/>
          </cell>
          <cell r="T416" t="str">
            <v/>
          </cell>
          <cell r="U416" t="str">
            <v/>
          </cell>
        </row>
        <row r="417">
          <cell r="C417" t="str">
            <v>0FS24F</v>
          </cell>
          <cell r="E417" t="str">
            <v/>
          </cell>
          <cell r="F417" t="str">
            <v/>
          </cell>
          <cell r="G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  <cell r="N417" t="str">
            <v/>
          </cell>
          <cell r="O417" t="str">
            <v/>
          </cell>
          <cell r="P417" t="str">
            <v/>
          </cell>
          <cell r="Q417" t="str">
            <v/>
          </cell>
          <cell r="R417" t="str">
            <v/>
          </cell>
          <cell r="S417" t="str">
            <v/>
          </cell>
          <cell r="T417" t="str">
            <v/>
          </cell>
          <cell r="U417" t="str">
            <v/>
          </cell>
        </row>
        <row r="418">
          <cell r="C418" t="str">
            <v>0FS24F1</v>
          </cell>
          <cell r="E418" t="str">
            <v/>
          </cell>
          <cell r="F418" t="str">
            <v/>
          </cell>
          <cell r="G418">
            <v>100</v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  <cell r="N418">
            <v>100</v>
          </cell>
          <cell r="O418" t="str">
            <v/>
          </cell>
          <cell r="P418" t="str">
            <v/>
          </cell>
          <cell r="Q418" t="str">
            <v/>
          </cell>
          <cell r="R418" t="str">
            <v/>
          </cell>
          <cell r="S418" t="str">
            <v/>
          </cell>
          <cell r="T418" t="str">
            <v/>
          </cell>
          <cell r="U418" t="str">
            <v/>
          </cell>
        </row>
        <row r="419">
          <cell r="C419" t="str">
            <v>0FS24F2</v>
          </cell>
          <cell r="E419" t="str">
            <v/>
          </cell>
          <cell r="F419" t="str">
            <v/>
          </cell>
          <cell r="G419">
            <v>0</v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  <cell r="N419">
            <v>100</v>
          </cell>
          <cell r="O419" t="str">
            <v/>
          </cell>
          <cell r="P419" t="str">
            <v/>
          </cell>
          <cell r="Q419" t="str">
            <v/>
          </cell>
          <cell r="R419" t="str">
            <v/>
          </cell>
          <cell r="S419" t="str">
            <v/>
          </cell>
          <cell r="T419" t="str">
            <v/>
          </cell>
          <cell r="U419" t="str">
            <v/>
          </cell>
        </row>
        <row r="420">
          <cell r="C420" t="str">
            <v>0FS24F3</v>
          </cell>
          <cell r="E420" t="str">
            <v/>
          </cell>
          <cell r="F420" t="str">
            <v/>
          </cell>
          <cell r="G420">
            <v>0</v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  <cell r="N420">
            <v>100</v>
          </cell>
          <cell r="O420" t="str">
            <v/>
          </cell>
          <cell r="P420" t="str">
            <v/>
          </cell>
          <cell r="Q420" t="str">
            <v/>
          </cell>
          <cell r="R420" t="str">
            <v/>
          </cell>
          <cell r="S420" t="str">
            <v/>
          </cell>
          <cell r="T420" t="str">
            <v/>
          </cell>
          <cell r="U420" t="str">
            <v/>
          </cell>
        </row>
        <row r="421">
          <cell r="C421" t="str">
            <v>0FS24F4</v>
          </cell>
          <cell r="E421" t="str">
            <v/>
          </cell>
          <cell r="F421" t="str">
            <v/>
          </cell>
          <cell r="G421">
            <v>0</v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  <cell r="N421">
            <v>100</v>
          </cell>
          <cell r="O421" t="str">
            <v/>
          </cell>
          <cell r="P421" t="str">
            <v/>
          </cell>
          <cell r="Q421" t="str">
            <v/>
          </cell>
          <cell r="R421" t="str">
            <v/>
          </cell>
          <cell r="S421" t="str">
            <v/>
          </cell>
          <cell r="T421" t="str">
            <v/>
          </cell>
          <cell r="U421" t="str">
            <v/>
          </cell>
        </row>
        <row r="422">
          <cell r="C422" t="str">
            <v>0FS24F5</v>
          </cell>
          <cell r="E422" t="str">
            <v/>
          </cell>
          <cell r="F422" t="str">
            <v/>
          </cell>
          <cell r="G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  <cell r="N422" t="str">
            <v/>
          </cell>
          <cell r="O422" t="str">
            <v/>
          </cell>
          <cell r="P422" t="str">
            <v/>
          </cell>
          <cell r="Q422" t="str">
            <v/>
          </cell>
          <cell r="R422" t="str">
            <v/>
          </cell>
          <cell r="S422" t="str">
            <v/>
          </cell>
          <cell r="T422" t="str">
            <v/>
          </cell>
          <cell r="U422" t="str">
            <v/>
          </cell>
        </row>
        <row r="423">
          <cell r="C423" t="str">
            <v>0FS24F6</v>
          </cell>
          <cell r="E423" t="str">
            <v/>
          </cell>
          <cell r="F423" t="str">
            <v/>
          </cell>
          <cell r="G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  <cell r="N423" t="str">
            <v/>
          </cell>
          <cell r="O423" t="str">
            <v/>
          </cell>
          <cell r="P423" t="str">
            <v/>
          </cell>
          <cell r="Q423" t="str">
            <v/>
          </cell>
          <cell r="R423" t="str">
            <v/>
          </cell>
          <cell r="S423" t="str">
            <v/>
          </cell>
          <cell r="T423" t="str">
            <v/>
          </cell>
          <cell r="U423" t="str">
            <v/>
          </cell>
        </row>
        <row r="425">
          <cell r="C425" t="str">
            <v/>
          </cell>
          <cell r="E425" t="str">
            <v>Composite Identification</v>
          </cell>
          <cell r="F425" t="str">
            <v xml:space="preserve"> Ply Description</v>
          </cell>
          <cell r="G425" t="str">
            <v>BV Sample Number</v>
          </cell>
          <cell r="H425" t="str">
            <v>Depth From</v>
          </cell>
          <cell r="I425" t="str">
            <v>Depth To</v>
          </cell>
          <cell r="J425" t="str">
            <v>Recovered Thickness</v>
          </cell>
          <cell r="K425" t="str">
            <v>Interval</v>
          </cell>
          <cell r="L425" t="str">
            <v>Sample Type</v>
          </cell>
          <cell r="M425" t="str">
            <v>Initial Mass Tested</v>
          </cell>
          <cell r="O425" t="str">
            <v>Final Mass</v>
          </cell>
          <cell r="P425" t="str">
            <v>Loss / Gain</v>
          </cell>
          <cell r="Q425" t="str">
            <v>Raw Coal Relative Density (calculated)</v>
          </cell>
          <cell r="R425" t="str">
            <v>Raw Coal Moisture (calculated)</v>
          </cell>
          <cell r="S425" t="str">
            <v>Raw Coal Ash (calculated)</v>
          </cell>
          <cell r="T425" t="str">
            <v>Moisture (analysed)</v>
          </cell>
          <cell r="U425" t="str">
            <v>Ash (analysed)</v>
          </cell>
        </row>
        <row r="426">
          <cell r="C426" t="str">
            <v>RC</v>
          </cell>
          <cell r="H426" t="str">
            <v>(m)</v>
          </cell>
          <cell r="I426" t="str">
            <v>(m)</v>
          </cell>
          <cell r="J426" t="str">
            <v>(m)</v>
          </cell>
          <cell r="K426" t="str">
            <v>(m)</v>
          </cell>
          <cell r="M426" t="str">
            <v>(kg)</v>
          </cell>
          <cell r="O426" t="str">
            <v>(kg)</v>
          </cell>
          <cell r="P426" t="str">
            <v>(%)</v>
          </cell>
          <cell r="Q426" t="str">
            <v>(%ad)</v>
          </cell>
          <cell r="R426" t="str">
            <v>(%ad)</v>
          </cell>
          <cell r="S426" t="str">
            <v>(%ad)</v>
          </cell>
          <cell r="T426" t="str">
            <v>(%ad)</v>
          </cell>
          <cell r="U426" t="str">
            <v>(%ad)</v>
          </cell>
        </row>
        <row r="427">
          <cell r="C427" t="str">
            <v>0RC25</v>
          </cell>
          <cell r="E427" t="str">
            <v/>
          </cell>
          <cell r="F427" t="str">
            <v/>
          </cell>
          <cell r="G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e">
            <v>#N/A</v>
          </cell>
          <cell r="O427">
            <v>0</v>
          </cell>
          <cell r="P427" t="e">
            <v>#N/A</v>
          </cell>
          <cell r="Q427" t="str">
            <v/>
          </cell>
          <cell r="R427" t="str">
            <v/>
          </cell>
          <cell r="S427" t="str">
            <v/>
          </cell>
          <cell r="T427" t="str">
            <v/>
          </cell>
          <cell r="U427" t="str">
            <v/>
          </cell>
        </row>
        <row r="429">
          <cell r="E429" t="str">
            <v>Density Fraction</v>
          </cell>
          <cell r="G429" t="str">
            <v>Fractional Analyses</v>
          </cell>
          <cell r="N429" t="str">
            <v>Cumulative Analyses</v>
          </cell>
        </row>
        <row r="430">
          <cell r="G430" t="str">
            <v xml:space="preserve">Mass </v>
          </cell>
          <cell r="H430" t="str">
            <v>Moisture</v>
          </cell>
          <cell r="I430" t="str">
            <v xml:space="preserve">Ash </v>
          </cell>
          <cell r="J430" t="str">
            <v xml:space="preserve">Volatile Matter </v>
          </cell>
          <cell r="K430" t="str">
            <v>Total Sulfur</v>
          </cell>
          <cell r="L430" t="str">
            <v>Calorific Value</v>
          </cell>
          <cell r="M430" t="str">
            <v>Phosphorus In Coal</v>
          </cell>
          <cell r="N430" t="str">
            <v xml:space="preserve">Mass </v>
          </cell>
          <cell r="O430" t="str">
            <v>Moisture</v>
          </cell>
          <cell r="P430" t="str">
            <v>Ash</v>
          </cell>
          <cell r="Q430" t="str">
            <v>Volatile Matter</v>
          </cell>
          <cell r="R430" t="str">
            <v>Total Sulfur</v>
          </cell>
          <cell r="S430" t="str">
            <v>Calorific Value</v>
          </cell>
          <cell r="T430" t="str">
            <v>Phosphorus In Coal</v>
          </cell>
          <cell r="U430" t="str">
            <v>Crucible Swelling Number</v>
          </cell>
        </row>
        <row r="431">
          <cell r="E431" t="str">
            <v>Sinks</v>
          </cell>
          <cell r="F431" t="str">
            <v>Floats</v>
          </cell>
          <cell r="G431" t="str">
            <v>(%)</v>
          </cell>
          <cell r="H431" t="str">
            <v>(%ad)</v>
          </cell>
          <cell r="I431" t="str">
            <v>(%ad)</v>
          </cell>
          <cell r="J431" t="str">
            <v>(%ad)</v>
          </cell>
          <cell r="K431" t="str">
            <v>(%ad)</v>
          </cell>
          <cell r="L431" t="str">
            <v>(MJ/kg ad)</v>
          </cell>
          <cell r="M431" t="str">
            <v>(%db)</v>
          </cell>
          <cell r="N431" t="str">
            <v>(%)</v>
          </cell>
          <cell r="O431" t="str">
            <v>(%ad)</v>
          </cell>
          <cell r="P431" t="str">
            <v>(%ad)</v>
          </cell>
          <cell r="Q431" t="str">
            <v>(%ad)</v>
          </cell>
          <cell r="R431" t="str">
            <v>(%ad)</v>
          </cell>
          <cell r="S431" t="str">
            <v>(MJ/kg ad)</v>
          </cell>
          <cell r="T431" t="str">
            <v>(%db)</v>
          </cell>
        </row>
        <row r="432">
          <cell r="C432" t="str">
            <v>FS</v>
          </cell>
        </row>
        <row r="433">
          <cell r="C433" t="str">
            <v>0FS25F</v>
          </cell>
          <cell r="F433" t="str">
            <v/>
          </cell>
          <cell r="G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  <cell r="N433" t="str">
            <v/>
          </cell>
          <cell r="O433" t="str">
            <v/>
          </cell>
          <cell r="P433" t="str">
            <v/>
          </cell>
          <cell r="Q433" t="str">
            <v/>
          </cell>
          <cell r="R433" t="str">
            <v/>
          </cell>
          <cell r="S433" t="str">
            <v/>
          </cell>
          <cell r="T433" t="str">
            <v/>
          </cell>
          <cell r="U433" t="str">
            <v/>
          </cell>
        </row>
        <row r="434">
          <cell r="C434" t="str">
            <v>0FS25F</v>
          </cell>
          <cell r="E434" t="str">
            <v/>
          </cell>
          <cell r="F434" t="str">
            <v/>
          </cell>
          <cell r="G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  <cell r="N434" t="str">
            <v/>
          </cell>
          <cell r="O434" t="str">
            <v/>
          </cell>
          <cell r="P434" t="str">
            <v/>
          </cell>
          <cell r="Q434" t="str">
            <v/>
          </cell>
          <cell r="R434" t="str">
            <v/>
          </cell>
          <cell r="S434" t="str">
            <v/>
          </cell>
          <cell r="T434" t="str">
            <v/>
          </cell>
          <cell r="U434" t="str">
            <v/>
          </cell>
        </row>
        <row r="435">
          <cell r="C435" t="str">
            <v>0FS25F1</v>
          </cell>
          <cell r="E435" t="str">
            <v/>
          </cell>
          <cell r="F435" t="str">
            <v/>
          </cell>
          <cell r="G435" t="e">
            <v>#DIV/0!</v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  <cell r="N435" t="e">
            <v>#DIV/0!</v>
          </cell>
          <cell r="O435" t="str">
            <v/>
          </cell>
          <cell r="P435" t="str">
            <v/>
          </cell>
          <cell r="Q435" t="str">
            <v/>
          </cell>
          <cell r="R435" t="str">
            <v/>
          </cell>
          <cell r="S435" t="str">
            <v/>
          </cell>
          <cell r="T435" t="str">
            <v/>
          </cell>
          <cell r="U435" t="str">
            <v/>
          </cell>
        </row>
        <row r="436">
          <cell r="C436" t="str">
            <v>0FS25F2</v>
          </cell>
          <cell r="E436" t="str">
            <v/>
          </cell>
          <cell r="F436" t="str">
            <v/>
          </cell>
          <cell r="G436" t="e">
            <v>#DIV/0!</v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  <cell r="N436" t="e">
            <v>#DIV/0!</v>
          </cell>
          <cell r="O436" t="str">
            <v/>
          </cell>
          <cell r="P436" t="str">
            <v/>
          </cell>
          <cell r="Q436" t="str">
            <v/>
          </cell>
          <cell r="R436" t="str">
            <v/>
          </cell>
          <cell r="S436" t="str">
            <v/>
          </cell>
          <cell r="T436" t="str">
            <v/>
          </cell>
          <cell r="U436" t="str">
            <v/>
          </cell>
        </row>
        <row r="437">
          <cell r="C437" t="str">
            <v>0FS25F3</v>
          </cell>
          <cell r="E437" t="str">
            <v/>
          </cell>
          <cell r="F437" t="str">
            <v/>
          </cell>
          <cell r="G437" t="e">
            <v>#DIV/0!</v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  <cell r="N437" t="e">
            <v>#DIV/0!</v>
          </cell>
          <cell r="O437" t="str">
            <v/>
          </cell>
          <cell r="P437" t="str">
            <v/>
          </cell>
          <cell r="Q437" t="str">
            <v/>
          </cell>
          <cell r="R437" t="str">
            <v/>
          </cell>
          <cell r="S437" t="str">
            <v/>
          </cell>
          <cell r="T437" t="str">
            <v/>
          </cell>
          <cell r="U437" t="str">
            <v/>
          </cell>
        </row>
        <row r="438">
          <cell r="C438" t="str">
            <v>0FS25F4</v>
          </cell>
          <cell r="E438" t="str">
            <v/>
          </cell>
          <cell r="F438" t="str">
            <v/>
          </cell>
          <cell r="G438" t="e">
            <v>#DIV/0!</v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  <cell r="N438" t="e">
            <v>#DIV/0!</v>
          </cell>
          <cell r="O438" t="str">
            <v/>
          </cell>
          <cell r="P438" t="str">
            <v/>
          </cell>
          <cell r="Q438" t="str">
            <v/>
          </cell>
          <cell r="R438" t="str">
            <v/>
          </cell>
          <cell r="S438" t="str">
            <v/>
          </cell>
          <cell r="T438" t="str">
            <v/>
          </cell>
          <cell r="U438" t="str">
            <v/>
          </cell>
        </row>
        <row r="439">
          <cell r="C439" t="str">
            <v>0FS25F5</v>
          </cell>
          <cell r="E439" t="str">
            <v/>
          </cell>
          <cell r="F439" t="str">
            <v/>
          </cell>
          <cell r="G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  <cell r="N439" t="str">
            <v/>
          </cell>
          <cell r="O439" t="str">
            <v/>
          </cell>
          <cell r="P439" t="str">
            <v/>
          </cell>
          <cell r="Q439" t="str">
            <v/>
          </cell>
          <cell r="R439" t="str">
            <v/>
          </cell>
          <cell r="S439" t="str">
            <v/>
          </cell>
          <cell r="T439" t="str">
            <v/>
          </cell>
          <cell r="U439" t="str">
            <v/>
          </cell>
        </row>
        <row r="440">
          <cell r="C440" t="str">
            <v>0FS25F6</v>
          </cell>
          <cell r="E440" t="str">
            <v/>
          </cell>
          <cell r="F440" t="str">
            <v/>
          </cell>
          <cell r="G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  <cell r="N440" t="str">
            <v/>
          </cell>
          <cell r="O440" t="str">
            <v/>
          </cell>
          <cell r="P440" t="str">
            <v/>
          </cell>
          <cell r="Q440" t="str">
            <v/>
          </cell>
          <cell r="R440" t="str">
            <v/>
          </cell>
          <cell r="S440" t="str">
            <v/>
          </cell>
          <cell r="T440" t="str">
            <v/>
          </cell>
          <cell r="U440" t="str">
            <v/>
          </cell>
        </row>
        <row r="442">
          <cell r="E442" t="str">
            <v>Composite Identification</v>
          </cell>
          <cell r="F442" t="str">
            <v xml:space="preserve"> Ply Description</v>
          </cell>
          <cell r="G442" t="str">
            <v>BV Sample Number</v>
          </cell>
          <cell r="H442" t="str">
            <v>Depth From</v>
          </cell>
          <cell r="I442" t="str">
            <v>Depth To</v>
          </cell>
          <cell r="J442" t="str">
            <v>Recovered Thickness</v>
          </cell>
          <cell r="K442" t="str">
            <v>Interval</v>
          </cell>
          <cell r="L442" t="str">
            <v>Sample Type</v>
          </cell>
          <cell r="M442" t="str">
            <v>Initial Mass Tested</v>
          </cell>
          <cell r="O442" t="str">
            <v>Final Mass</v>
          </cell>
          <cell r="P442" t="str">
            <v>Loss / Gain</v>
          </cell>
          <cell r="Q442" t="str">
            <v>Raw Coal Relative Density (calculated)</v>
          </cell>
          <cell r="R442" t="str">
            <v>Raw Coal Moisture (calculated)</v>
          </cell>
          <cell r="S442" t="str">
            <v>Raw Coal Ash (calculated)</v>
          </cell>
          <cell r="T442" t="str">
            <v>Moisture (analysed)</v>
          </cell>
          <cell r="U442" t="str">
            <v>Ash (analysed)</v>
          </cell>
        </row>
        <row r="443">
          <cell r="C443" t="str">
            <v>RC</v>
          </cell>
          <cell r="H443" t="str">
            <v>(m)</v>
          </cell>
          <cell r="I443" t="str">
            <v>(m)</v>
          </cell>
          <cell r="J443" t="str">
            <v>(m)</v>
          </cell>
          <cell r="K443" t="str">
            <v>(m)</v>
          </cell>
          <cell r="M443" t="str">
            <v>(kg)</v>
          </cell>
          <cell r="O443" t="str">
            <v>(kg)</v>
          </cell>
          <cell r="P443" t="str">
            <v>(%)</v>
          </cell>
          <cell r="Q443" t="str">
            <v>(%ad)</v>
          </cell>
          <cell r="R443" t="str">
            <v>(%ad)</v>
          </cell>
          <cell r="S443" t="str">
            <v>(%ad)</v>
          </cell>
          <cell r="T443" t="str">
            <v>(%ad)</v>
          </cell>
          <cell r="U443" t="str">
            <v>(%ad)</v>
          </cell>
        </row>
        <row r="444">
          <cell r="C444" t="str">
            <v>0RC26</v>
          </cell>
          <cell r="E444" t="str">
            <v/>
          </cell>
          <cell r="F444" t="str">
            <v/>
          </cell>
          <cell r="G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e">
            <v>#N/A</v>
          </cell>
          <cell r="O444">
            <v>1E-3</v>
          </cell>
          <cell r="P444" t="e">
            <v>#N/A</v>
          </cell>
          <cell r="Q444" t="str">
            <v/>
          </cell>
          <cell r="R444" t="str">
            <v/>
          </cell>
          <cell r="S444" t="str">
            <v/>
          </cell>
          <cell r="T444" t="str">
            <v/>
          </cell>
          <cell r="U444" t="str">
            <v/>
          </cell>
        </row>
        <row r="446">
          <cell r="E446" t="str">
            <v>Density Fraction</v>
          </cell>
          <cell r="G446" t="str">
            <v>Fractional Analyses</v>
          </cell>
          <cell r="N446" t="str">
            <v>Cumulative Analyses</v>
          </cell>
        </row>
        <row r="447">
          <cell r="G447" t="str">
            <v xml:space="preserve">Mass </v>
          </cell>
          <cell r="H447" t="str">
            <v>Moisture</v>
          </cell>
          <cell r="I447" t="str">
            <v xml:space="preserve">Ash </v>
          </cell>
          <cell r="J447" t="str">
            <v xml:space="preserve">Volatile Matter </v>
          </cell>
          <cell r="K447" t="str">
            <v>Total Sulfur</v>
          </cell>
          <cell r="L447" t="str">
            <v>Calorific Value</v>
          </cell>
          <cell r="M447" t="str">
            <v>Phosphorus In Coal</v>
          </cell>
          <cell r="N447" t="str">
            <v xml:space="preserve">Mass </v>
          </cell>
          <cell r="O447" t="str">
            <v>Moisture</v>
          </cell>
          <cell r="P447" t="str">
            <v>Ash</v>
          </cell>
          <cell r="Q447" t="str">
            <v>Volatile Matter</v>
          </cell>
          <cell r="R447" t="str">
            <v>Total Sulfur</v>
          </cell>
          <cell r="S447" t="str">
            <v>Calorific Value</v>
          </cell>
          <cell r="T447" t="str">
            <v>Phosphorus In Coal</v>
          </cell>
          <cell r="U447" t="str">
            <v>Crucible Swelling Number</v>
          </cell>
        </row>
        <row r="448">
          <cell r="E448" t="str">
            <v>Sinks</v>
          </cell>
          <cell r="F448" t="str">
            <v>Floats</v>
          </cell>
          <cell r="G448" t="str">
            <v>(%)</v>
          </cell>
          <cell r="H448" t="str">
            <v>(%ad)</v>
          </cell>
          <cell r="I448" t="str">
            <v>(%ad)</v>
          </cell>
          <cell r="J448" t="str">
            <v>(%ad)</v>
          </cell>
          <cell r="K448" t="str">
            <v>(%ad)</v>
          </cell>
          <cell r="L448" t="str">
            <v>(MJ/kg ad)</v>
          </cell>
          <cell r="M448" t="str">
            <v>(%db)</v>
          </cell>
          <cell r="N448" t="str">
            <v>(%)</v>
          </cell>
          <cell r="O448" t="str">
            <v>(%ad)</v>
          </cell>
          <cell r="P448" t="str">
            <v>(%ad)</v>
          </cell>
          <cell r="Q448" t="str">
            <v>(%ad)</v>
          </cell>
          <cell r="R448" t="str">
            <v>(%ad)</v>
          </cell>
          <cell r="S448" t="str">
            <v>(MJ/kg ad)</v>
          </cell>
          <cell r="T448" t="str">
            <v>(%db)</v>
          </cell>
        </row>
        <row r="449">
          <cell r="C449" t="str">
            <v>FS</v>
          </cell>
        </row>
        <row r="450">
          <cell r="C450" t="str">
            <v>0FS26F</v>
          </cell>
          <cell r="F450" t="str">
            <v/>
          </cell>
          <cell r="G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  <cell r="N450" t="str">
            <v/>
          </cell>
          <cell r="O450" t="str">
            <v/>
          </cell>
          <cell r="P450" t="str">
            <v/>
          </cell>
          <cell r="Q450" t="str">
            <v/>
          </cell>
          <cell r="R450" t="str">
            <v/>
          </cell>
          <cell r="S450" t="str">
            <v/>
          </cell>
          <cell r="T450" t="str">
            <v/>
          </cell>
          <cell r="U450" t="str">
            <v/>
          </cell>
        </row>
        <row r="451">
          <cell r="C451" t="str">
            <v>0FS26F</v>
          </cell>
          <cell r="E451" t="str">
            <v/>
          </cell>
          <cell r="F451" t="str">
            <v/>
          </cell>
          <cell r="G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  <cell r="N451" t="str">
            <v/>
          </cell>
          <cell r="O451" t="str">
            <v/>
          </cell>
          <cell r="P451" t="str">
            <v/>
          </cell>
          <cell r="Q451" t="str">
            <v/>
          </cell>
          <cell r="R451" t="str">
            <v/>
          </cell>
          <cell r="S451" t="str">
            <v/>
          </cell>
          <cell r="T451" t="str">
            <v/>
          </cell>
          <cell r="U451" t="str">
            <v/>
          </cell>
        </row>
        <row r="452">
          <cell r="C452" t="str">
            <v>0FS26F1</v>
          </cell>
          <cell r="E452" t="str">
            <v/>
          </cell>
          <cell r="F452" t="str">
            <v/>
          </cell>
          <cell r="G452">
            <v>100</v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  <cell r="N452">
            <v>100</v>
          </cell>
          <cell r="O452" t="str">
            <v/>
          </cell>
          <cell r="P452" t="str">
            <v/>
          </cell>
          <cell r="Q452" t="str">
            <v/>
          </cell>
          <cell r="R452" t="str">
            <v/>
          </cell>
          <cell r="S452" t="str">
            <v/>
          </cell>
          <cell r="T452" t="str">
            <v/>
          </cell>
          <cell r="U452" t="str">
            <v/>
          </cell>
        </row>
        <row r="453">
          <cell r="C453" t="str">
            <v>0FS26F2</v>
          </cell>
          <cell r="E453" t="str">
            <v/>
          </cell>
          <cell r="F453" t="str">
            <v/>
          </cell>
          <cell r="G453">
            <v>0</v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  <cell r="N453">
            <v>100</v>
          </cell>
          <cell r="O453" t="str">
            <v/>
          </cell>
          <cell r="P453" t="str">
            <v/>
          </cell>
          <cell r="Q453" t="str">
            <v/>
          </cell>
          <cell r="R453" t="str">
            <v/>
          </cell>
          <cell r="S453" t="str">
            <v/>
          </cell>
          <cell r="T453" t="str">
            <v/>
          </cell>
          <cell r="U453" t="str">
            <v/>
          </cell>
        </row>
        <row r="454">
          <cell r="C454" t="str">
            <v>0FS26F3</v>
          </cell>
          <cell r="E454" t="str">
            <v/>
          </cell>
          <cell r="F454" t="str">
            <v/>
          </cell>
          <cell r="G454">
            <v>0</v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  <cell r="N454">
            <v>100</v>
          </cell>
          <cell r="O454" t="str">
            <v/>
          </cell>
          <cell r="P454" t="str">
            <v/>
          </cell>
          <cell r="Q454" t="str">
            <v/>
          </cell>
          <cell r="R454" t="str">
            <v/>
          </cell>
          <cell r="S454" t="str">
            <v/>
          </cell>
          <cell r="T454" t="str">
            <v/>
          </cell>
          <cell r="U454" t="str">
            <v/>
          </cell>
        </row>
        <row r="455">
          <cell r="C455" t="str">
            <v>0FS26F4</v>
          </cell>
          <cell r="E455" t="str">
            <v/>
          </cell>
          <cell r="F455" t="str">
            <v/>
          </cell>
          <cell r="G455">
            <v>0</v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  <cell r="N455">
            <v>100</v>
          </cell>
          <cell r="O455" t="str">
            <v/>
          </cell>
          <cell r="P455" t="str">
            <v/>
          </cell>
          <cell r="Q455" t="str">
            <v/>
          </cell>
          <cell r="R455" t="str">
            <v/>
          </cell>
          <cell r="S455" t="str">
            <v/>
          </cell>
          <cell r="T455" t="str">
            <v/>
          </cell>
          <cell r="U455" t="str">
            <v/>
          </cell>
        </row>
        <row r="456">
          <cell r="C456" t="str">
            <v>0FS26F5</v>
          </cell>
          <cell r="E456" t="str">
            <v/>
          </cell>
          <cell r="F456" t="str">
            <v/>
          </cell>
          <cell r="G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  <cell r="N456" t="str">
            <v/>
          </cell>
          <cell r="O456" t="str">
            <v/>
          </cell>
          <cell r="P456" t="str">
            <v/>
          </cell>
          <cell r="Q456" t="str">
            <v/>
          </cell>
          <cell r="R456" t="str">
            <v/>
          </cell>
          <cell r="S456" t="str">
            <v/>
          </cell>
          <cell r="T456" t="str">
            <v/>
          </cell>
          <cell r="U456" t="str">
            <v/>
          </cell>
        </row>
        <row r="457">
          <cell r="C457" t="str">
            <v>0FS26F6</v>
          </cell>
          <cell r="E457" t="str">
            <v/>
          </cell>
          <cell r="F457" t="str">
            <v/>
          </cell>
          <cell r="G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  <cell r="N457" t="str">
            <v/>
          </cell>
          <cell r="O457" t="str">
            <v/>
          </cell>
          <cell r="P457" t="str">
            <v/>
          </cell>
          <cell r="Q457" t="str">
            <v/>
          </cell>
          <cell r="R457" t="str">
            <v/>
          </cell>
          <cell r="S457" t="str">
            <v/>
          </cell>
          <cell r="T457" t="str">
            <v/>
          </cell>
          <cell r="U457" t="str">
            <v/>
          </cell>
        </row>
        <row r="460">
          <cell r="C460" t="str">
            <v/>
          </cell>
          <cell r="E460" t="str">
            <v>Composite Identification</v>
          </cell>
          <cell r="F460" t="str">
            <v xml:space="preserve"> Ply Description</v>
          </cell>
          <cell r="G460" t="str">
            <v>BV Sample Number</v>
          </cell>
          <cell r="H460" t="str">
            <v>Depth From</v>
          </cell>
          <cell r="I460" t="str">
            <v>Depth To</v>
          </cell>
          <cell r="J460" t="str">
            <v>Recovered Thickness</v>
          </cell>
          <cell r="K460" t="str">
            <v>Interval</v>
          </cell>
          <cell r="L460" t="str">
            <v>Sample Type</v>
          </cell>
          <cell r="M460" t="str">
            <v>Initial Mass Tested</v>
          </cell>
          <cell r="O460" t="str">
            <v>Final Mass</v>
          </cell>
          <cell r="P460" t="str">
            <v>Loss / Gain</v>
          </cell>
          <cell r="Q460" t="str">
            <v>Raw Coal Relative Density (calculated)</v>
          </cell>
          <cell r="R460" t="str">
            <v>Raw Coal Moisture (calculated)</v>
          </cell>
          <cell r="S460" t="str">
            <v>Raw Coal Ash (calculated)</v>
          </cell>
          <cell r="T460" t="str">
            <v>Moisture (analysed)</v>
          </cell>
          <cell r="U460" t="str">
            <v>Ash (analysed)</v>
          </cell>
        </row>
        <row r="461">
          <cell r="C461" t="str">
            <v>RC</v>
          </cell>
          <cell r="H461" t="str">
            <v>(m)</v>
          </cell>
          <cell r="I461" t="str">
            <v>(m)</v>
          </cell>
          <cell r="J461" t="str">
            <v>(m)</v>
          </cell>
          <cell r="K461" t="str">
            <v>(m)</v>
          </cell>
          <cell r="M461" t="str">
            <v>(kg)</v>
          </cell>
          <cell r="O461" t="str">
            <v>(kg)</v>
          </cell>
          <cell r="P461" t="str">
            <v>(%)</v>
          </cell>
          <cell r="Q461" t="str">
            <v>(%ad)</v>
          </cell>
          <cell r="R461" t="str">
            <v>(%ad)</v>
          </cell>
          <cell r="S461" t="str">
            <v>(%ad)</v>
          </cell>
          <cell r="T461" t="str">
            <v>(%ad)</v>
          </cell>
          <cell r="U461" t="str">
            <v>(%ad)</v>
          </cell>
        </row>
        <row r="462">
          <cell r="C462" t="str">
            <v>0RC27</v>
          </cell>
          <cell r="E462" t="str">
            <v/>
          </cell>
          <cell r="F462" t="str">
            <v/>
          </cell>
          <cell r="G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e">
            <v>#N/A</v>
          </cell>
          <cell r="O462">
            <v>1E-3</v>
          </cell>
          <cell r="P462" t="e">
            <v>#N/A</v>
          </cell>
          <cell r="Q462" t="str">
            <v/>
          </cell>
          <cell r="R462" t="str">
            <v/>
          </cell>
          <cell r="S462" t="str">
            <v/>
          </cell>
          <cell r="T462" t="str">
            <v/>
          </cell>
          <cell r="U462" t="str">
            <v/>
          </cell>
        </row>
        <row r="464">
          <cell r="E464" t="str">
            <v>Density Fraction</v>
          </cell>
          <cell r="G464" t="str">
            <v>Fractional Analyses</v>
          </cell>
          <cell r="N464" t="str">
            <v>Cumulative Analyses</v>
          </cell>
        </row>
        <row r="465">
          <cell r="G465" t="str">
            <v xml:space="preserve">Mass </v>
          </cell>
          <cell r="H465" t="str">
            <v>Moisture</v>
          </cell>
          <cell r="I465" t="str">
            <v xml:space="preserve">Ash </v>
          </cell>
          <cell r="J465" t="str">
            <v xml:space="preserve">Volatile Matter </v>
          </cell>
          <cell r="K465" t="str">
            <v>Total Sulfur</v>
          </cell>
          <cell r="L465" t="str">
            <v>Calorific Value</v>
          </cell>
          <cell r="M465" t="str">
            <v>Phosphorus In Coal</v>
          </cell>
          <cell r="N465" t="str">
            <v xml:space="preserve">Mass </v>
          </cell>
          <cell r="O465" t="str">
            <v>Moisture</v>
          </cell>
          <cell r="P465" t="str">
            <v>Ash</v>
          </cell>
          <cell r="Q465" t="str">
            <v>Volatile Matter</v>
          </cell>
          <cell r="R465" t="str">
            <v>Total Sulfur</v>
          </cell>
          <cell r="S465" t="str">
            <v>Calorific Value</v>
          </cell>
          <cell r="T465" t="str">
            <v>Phosphorus In Coal</v>
          </cell>
          <cell r="U465" t="str">
            <v>Crucible Swelling Number</v>
          </cell>
        </row>
        <row r="466">
          <cell r="E466" t="str">
            <v>Sinks</v>
          </cell>
          <cell r="F466" t="str">
            <v>Floats</v>
          </cell>
          <cell r="G466" t="str">
            <v>(%)</v>
          </cell>
          <cell r="H466" t="str">
            <v>(%ad)</v>
          </cell>
          <cell r="I466" t="str">
            <v>(%ad)</v>
          </cell>
          <cell r="J466" t="str">
            <v>(%ad)</v>
          </cell>
          <cell r="K466" t="str">
            <v>(%ad)</v>
          </cell>
          <cell r="L466" t="str">
            <v>(MJ/kg ad)</v>
          </cell>
          <cell r="M466" t="str">
            <v>(%db)</v>
          </cell>
          <cell r="N466" t="str">
            <v>(%)</v>
          </cell>
          <cell r="O466" t="str">
            <v>(%ad)</v>
          </cell>
          <cell r="P466" t="str">
            <v>(%ad)</v>
          </cell>
          <cell r="Q466" t="str">
            <v>(%ad)</v>
          </cell>
          <cell r="R466" t="str">
            <v>(%ad)</v>
          </cell>
          <cell r="S466" t="str">
            <v>(MJ/kg ad)</v>
          </cell>
          <cell r="T466" t="str">
            <v>(%db)</v>
          </cell>
        </row>
        <row r="467">
          <cell r="C467" t="str">
            <v>FS</v>
          </cell>
        </row>
        <row r="468">
          <cell r="C468" t="str">
            <v>0FS27F</v>
          </cell>
          <cell r="F468" t="str">
            <v/>
          </cell>
          <cell r="G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  <cell r="N468" t="str">
            <v/>
          </cell>
          <cell r="O468" t="str">
            <v/>
          </cell>
          <cell r="P468" t="str">
            <v/>
          </cell>
          <cell r="Q468" t="str">
            <v/>
          </cell>
          <cell r="R468" t="str">
            <v/>
          </cell>
          <cell r="S468" t="str">
            <v/>
          </cell>
          <cell r="T468" t="str">
            <v/>
          </cell>
          <cell r="U468" t="str">
            <v/>
          </cell>
        </row>
        <row r="469">
          <cell r="C469" t="str">
            <v>0FS27F</v>
          </cell>
          <cell r="E469" t="str">
            <v/>
          </cell>
          <cell r="F469" t="str">
            <v/>
          </cell>
          <cell r="G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  <cell r="N469" t="str">
            <v/>
          </cell>
          <cell r="O469" t="str">
            <v/>
          </cell>
          <cell r="P469" t="str">
            <v/>
          </cell>
          <cell r="Q469" t="str">
            <v/>
          </cell>
          <cell r="R469" t="str">
            <v/>
          </cell>
          <cell r="S469" t="str">
            <v/>
          </cell>
          <cell r="T469" t="str">
            <v/>
          </cell>
          <cell r="U469" t="str">
            <v/>
          </cell>
        </row>
        <row r="470">
          <cell r="C470" t="str">
            <v>0FS27F1</v>
          </cell>
          <cell r="E470" t="str">
            <v/>
          </cell>
          <cell r="F470" t="str">
            <v/>
          </cell>
          <cell r="G470">
            <v>100</v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  <cell r="N470">
            <v>100</v>
          </cell>
          <cell r="O470" t="str">
            <v/>
          </cell>
          <cell r="P470" t="str">
            <v/>
          </cell>
          <cell r="Q470" t="str">
            <v/>
          </cell>
          <cell r="R470" t="str">
            <v/>
          </cell>
          <cell r="S470" t="str">
            <v/>
          </cell>
          <cell r="T470" t="str">
            <v/>
          </cell>
          <cell r="U470" t="str">
            <v/>
          </cell>
        </row>
        <row r="471">
          <cell r="C471" t="str">
            <v>0FS27F2</v>
          </cell>
          <cell r="E471" t="str">
            <v/>
          </cell>
          <cell r="F471" t="str">
            <v/>
          </cell>
          <cell r="G471">
            <v>0</v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  <cell r="N471">
            <v>100</v>
          </cell>
          <cell r="O471" t="str">
            <v/>
          </cell>
          <cell r="P471" t="str">
            <v/>
          </cell>
          <cell r="Q471" t="str">
            <v/>
          </cell>
          <cell r="R471" t="str">
            <v/>
          </cell>
          <cell r="S471" t="str">
            <v/>
          </cell>
          <cell r="T471" t="str">
            <v/>
          </cell>
          <cell r="U471" t="str">
            <v/>
          </cell>
        </row>
        <row r="472">
          <cell r="C472" t="str">
            <v>0FS27F3</v>
          </cell>
          <cell r="E472" t="str">
            <v/>
          </cell>
          <cell r="F472" t="str">
            <v/>
          </cell>
          <cell r="G472">
            <v>0</v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  <cell r="N472">
            <v>100</v>
          </cell>
          <cell r="O472" t="str">
            <v/>
          </cell>
          <cell r="P472" t="str">
            <v/>
          </cell>
          <cell r="Q472" t="str">
            <v/>
          </cell>
          <cell r="R472" t="str">
            <v/>
          </cell>
          <cell r="S472" t="str">
            <v/>
          </cell>
          <cell r="T472" t="str">
            <v/>
          </cell>
          <cell r="U472" t="str">
            <v/>
          </cell>
        </row>
        <row r="473">
          <cell r="C473" t="str">
            <v>0FS27F4</v>
          </cell>
          <cell r="E473" t="str">
            <v/>
          </cell>
          <cell r="F473" t="str">
            <v/>
          </cell>
          <cell r="G473">
            <v>0</v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  <cell r="N473">
            <v>100</v>
          </cell>
          <cell r="O473" t="str">
            <v/>
          </cell>
          <cell r="P473" t="str">
            <v/>
          </cell>
          <cell r="Q473" t="str">
            <v/>
          </cell>
          <cell r="R473" t="str">
            <v/>
          </cell>
          <cell r="S473" t="str">
            <v/>
          </cell>
          <cell r="T473" t="str">
            <v/>
          </cell>
          <cell r="U473" t="str">
            <v/>
          </cell>
        </row>
        <row r="474">
          <cell r="C474" t="str">
            <v>0FS27F5</v>
          </cell>
          <cell r="E474" t="str">
            <v/>
          </cell>
          <cell r="F474" t="str">
            <v/>
          </cell>
          <cell r="G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  <cell r="N474" t="str">
            <v/>
          </cell>
          <cell r="O474" t="str">
            <v/>
          </cell>
          <cell r="P474" t="str">
            <v/>
          </cell>
          <cell r="Q474" t="str">
            <v/>
          </cell>
          <cell r="R474" t="str">
            <v/>
          </cell>
          <cell r="S474" t="str">
            <v/>
          </cell>
          <cell r="T474" t="str">
            <v/>
          </cell>
          <cell r="U474" t="str">
            <v/>
          </cell>
        </row>
        <row r="475">
          <cell r="C475" t="str">
            <v>0FS27F6</v>
          </cell>
          <cell r="E475" t="str">
            <v/>
          </cell>
          <cell r="F475" t="str">
            <v/>
          </cell>
          <cell r="G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  <cell r="N475" t="str">
            <v/>
          </cell>
          <cell r="O475" t="str">
            <v/>
          </cell>
          <cell r="P475" t="str">
            <v/>
          </cell>
          <cell r="Q475" t="str">
            <v/>
          </cell>
          <cell r="R475" t="str">
            <v/>
          </cell>
          <cell r="S475" t="str">
            <v/>
          </cell>
          <cell r="T475" t="str">
            <v/>
          </cell>
          <cell r="U475" t="str">
            <v/>
          </cell>
        </row>
        <row r="477">
          <cell r="E477" t="str">
            <v>Composite Identification</v>
          </cell>
          <cell r="F477" t="str">
            <v xml:space="preserve"> Ply Description</v>
          </cell>
          <cell r="G477" t="str">
            <v>BV Sample Number</v>
          </cell>
          <cell r="H477" t="str">
            <v>Depth From</v>
          </cell>
          <cell r="I477" t="str">
            <v>Depth To</v>
          </cell>
          <cell r="J477" t="str">
            <v>Recovered Thickness</v>
          </cell>
          <cell r="K477" t="str">
            <v>Interval</v>
          </cell>
          <cell r="L477" t="str">
            <v>Sample Type</v>
          </cell>
          <cell r="M477" t="str">
            <v>Initial Mass Tested</v>
          </cell>
          <cell r="O477" t="str">
            <v>Final Mass</v>
          </cell>
          <cell r="P477" t="str">
            <v>Loss / Gain</v>
          </cell>
          <cell r="Q477" t="str">
            <v>Raw Coal Relative Density (calculated)</v>
          </cell>
          <cell r="R477" t="str">
            <v>Raw Coal Moisture (calculated)</v>
          </cell>
          <cell r="S477" t="str">
            <v>Raw Coal Ash (calculated)</v>
          </cell>
          <cell r="T477" t="str">
            <v>Moisture (analysed)</v>
          </cell>
          <cell r="U477" t="str">
            <v>Ash (analysed)</v>
          </cell>
        </row>
        <row r="478">
          <cell r="C478" t="str">
            <v>RC</v>
          </cell>
          <cell r="H478" t="str">
            <v>(m)</v>
          </cell>
          <cell r="I478" t="str">
            <v>(m)</v>
          </cell>
          <cell r="J478" t="str">
            <v>(m)</v>
          </cell>
          <cell r="K478" t="str">
            <v>(m)</v>
          </cell>
          <cell r="M478" t="str">
            <v>(kg)</v>
          </cell>
          <cell r="O478" t="str">
            <v>(kg)</v>
          </cell>
          <cell r="P478" t="str">
            <v>(%)</v>
          </cell>
          <cell r="Q478" t="str">
            <v>(%ad)</v>
          </cell>
          <cell r="R478" t="str">
            <v>(%ad)</v>
          </cell>
          <cell r="S478" t="str">
            <v>(%ad)</v>
          </cell>
          <cell r="T478" t="str">
            <v>(%ad)</v>
          </cell>
          <cell r="U478" t="str">
            <v>(%ad)</v>
          </cell>
        </row>
        <row r="479">
          <cell r="C479" t="str">
            <v>0RC28</v>
          </cell>
          <cell r="E479" t="str">
            <v/>
          </cell>
          <cell r="F479" t="str">
            <v/>
          </cell>
          <cell r="G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e">
            <v>#N/A</v>
          </cell>
          <cell r="O479">
            <v>1E-3</v>
          </cell>
          <cell r="P479" t="e">
            <v>#N/A</v>
          </cell>
          <cell r="Q479" t="str">
            <v/>
          </cell>
          <cell r="R479" t="str">
            <v/>
          </cell>
          <cell r="S479" t="str">
            <v/>
          </cell>
          <cell r="T479" t="str">
            <v/>
          </cell>
          <cell r="U479" t="str">
            <v/>
          </cell>
        </row>
        <row r="481">
          <cell r="E481" t="str">
            <v>Density Fraction</v>
          </cell>
          <cell r="G481" t="str">
            <v>Fractional Analyses</v>
          </cell>
          <cell r="N481" t="str">
            <v>Cumulative Analyses</v>
          </cell>
        </row>
        <row r="482">
          <cell r="G482" t="str">
            <v xml:space="preserve">Mass </v>
          </cell>
          <cell r="H482" t="str">
            <v>Moisture</v>
          </cell>
          <cell r="I482" t="str">
            <v xml:space="preserve">Ash </v>
          </cell>
          <cell r="J482" t="str">
            <v xml:space="preserve">Volatile Matter </v>
          </cell>
          <cell r="K482" t="str">
            <v>Total Sulfur</v>
          </cell>
          <cell r="L482" t="str">
            <v>Calorific Value</v>
          </cell>
          <cell r="M482" t="str">
            <v>Phosphorus In Coal</v>
          </cell>
          <cell r="N482" t="str">
            <v xml:space="preserve">Mass </v>
          </cell>
          <cell r="O482" t="str">
            <v>Moisture</v>
          </cell>
          <cell r="P482" t="str">
            <v>Ash</v>
          </cell>
          <cell r="Q482" t="str">
            <v>Volatile Matter</v>
          </cell>
          <cell r="R482" t="str">
            <v>Total Sulfur</v>
          </cell>
          <cell r="S482" t="str">
            <v>Calorific Value</v>
          </cell>
          <cell r="T482" t="str">
            <v>Phosphorus In Coal</v>
          </cell>
          <cell r="U482" t="str">
            <v>Crucible Swelling Number</v>
          </cell>
        </row>
        <row r="483">
          <cell r="E483" t="str">
            <v>Sinks</v>
          </cell>
          <cell r="F483" t="str">
            <v>Floats</v>
          </cell>
          <cell r="G483" t="str">
            <v>(%)</v>
          </cell>
          <cell r="H483" t="str">
            <v>(%ad)</v>
          </cell>
          <cell r="I483" t="str">
            <v>(%ad)</v>
          </cell>
          <cell r="J483" t="str">
            <v>(%ad)</v>
          </cell>
          <cell r="K483" t="str">
            <v>(%ad)</v>
          </cell>
          <cell r="L483" t="str">
            <v>(MJ/kg ad)</v>
          </cell>
          <cell r="M483" t="str">
            <v>(%db)</v>
          </cell>
          <cell r="N483" t="str">
            <v>(%)</v>
          </cell>
          <cell r="O483" t="str">
            <v>(%ad)</v>
          </cell>
          <cell r="P483" t="str">
            <v>(%ad)</v>
          </cell>
          <cell r="Q483" t="str">
            <v>(%ad)</v>
          </cell>
          <cell r="R483" t="str">
            <v>(%ad)</v>
          </cell>
          <cell r="S483" t="str">
            <v>(MJ/kg ad)</v>
          </cell>
          <cell r="T483" t="str">
            <v>(%db)</v>
          </cell>
        </row>
        <row r="484">
          <cell r="C484" t="str">
            <v>FS</v>
          </cell>
        </row>
        <row r="485">
          <cell r="C485" t="str">
            <v>0FS28F</v>
          </cell>
          <cell r="F485" t="str">
            <v/>
          </cell>
          <cell r="G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  <cell r="N485" t="str">
            <v/>
          </cell>
          <cell r="O485" t="str">
            <v/>
          </cell>
          <cell r="P485" t="str">
            <v/>
          </cell>
          <cell r="Q485" t="str">
            <v/>
          </cell>
          <cell r="R485" t="str">
            <v/>
          </cell>
          <cell r="S485" t="str">
            <v/>
          </cell>
          <cell r="T485" t="str">
            <v/>
          </cell>
          <cell r="U485" t="str">
            <v/>
          </cell>
        </row>
        <row r="486">
          <cell r="C486" t="str">
            <v>0FS28F</v>
          </cell>
          <cell r="E486" t="str">
            <v/>
          </cell>
          <cell r="F486" t="str">
            <v/>
          </cell>
          <cell r="G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  <cell r="N486" t="str">
            <v/>
          </cell>
          <cell r="O486" t="str">
            <v/>
          </cell>
          <cell r="P486" t="str">
            <v/>
          </cell>
          <cell r="Q486" t="str">
            <v/>
          </cell>
          <cell r="R486" t="str">
            <v/>
          </cell>
          <cell r="S486" t="str">
            <v/>
          </cell>
          <cell r="T486" t="str">
            <v/>
          </cell>
          <cell r="U486" t="str">
            <v/>
          </cell>
        </row>
        <row r="487">
          <cell r="C487" t="str">
            <v>0FS28F1</v>
          </cell>
          <cell r="E487" t="str">
            <v/>
          </cell>
          <cell r="F487" t="str">
            <v/>
          </cell>
          <cell r="G487">
            <v>100</v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  <cell r="N487">
            <v>100</v>
          </cell>
          <cell r="O487" t="str">
            <v/>
          </cell>
          <cell r="P487" t="str">
            <v/>
          </cell>
          <cell r="Q487" t="str">
            <v/>
          </cell>
          <cell r="R487" t="str">
            <v/>
          </cell>
          <cell r="S487" t="str">
            <v/>
          </cell>
          <cell r="T487" t="str">
            <v/>
          </cell>
          <cell r="U487" t="str">
            <v/>
          </cell>
        </row>
        <row r="488">
          <cell r="C488" t="str">
            <v>0FS28F2</v>
          </cell>
          <cell r="E488" t="str">
            <v/>
          </cell>
          <cell r="F488" t="str">
            <v/>
          </cell>
          <cell r="G488">
            <v>0</v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  <cell r="N488">
            <v>100</v>
          </cell>
          <cell r="O488" t="str">
            <v/>
          </cell>
          <cell r="P488" t="str">
            <v/>
          </cell>
          <cell r="Q488" t="str">
            <v/>
          </cell>
          <cell r="R488" t="str">
            <v/>
          </cell>
          <cell r="S488" t="str">
            <v/>
          </cell>
          <cell r="T488" t="str">
            <v/>
          </cell>
          <cell r="U488" t="str">
            <v/>
          </cell>
        </row>
        <row r="489">
          <cell r="C489" t="str">
            <v>0FS28F3</v>
          </cell>
          <cell r="E489" t="str">
            <v/>
          </cell>
          <cell r="F489" t="str">
            <v/>
          </cell>
          <cell r="G489">
            <v>0</v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  <cell r="N489">
            <v>100</v>
          </cell>
          <cell r="O489" t="str">
            <v/>
          </cell>
          <cell r="P489" t="str">
            <v/>
          </cell>
          <cell r="Q489" t="str">
            <v/>
          </cell>
          <cell r="R489" t="str">
            <v/>
          </cell>
          <cell r="S489" t="str">
            <v/>
          </cell>
          <cell r="T489" t="str">
            <v/>
          </cell>
          <cell r="U489" t="str">
            <v/>
          </cell>
        </row>
        <row r="490">
          <cell r="C490" t="str">
            <v>0FS28F4</v>
          </cell>
          <cell r="E490" t="str">
            <v/>
          </cell>
          <cell r="F490" t="str">
            <v/>
          </cell>
          <cell r="G490">
            <v>0</v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  <cell r="N490">
            <v>100</v>
          </cell>
          <cell r="O490" t="str">
            <v/>
          </cell>
          <cell r="P490" t="str">
            <v/>
          </cell>
          <cell r="Q490" t="str">
            <v/>
          </cell>
          <cell r="R490" t="str">
            <v/>
          </cell>
          <cell r="S490" t="str">
            <v/>
          </cell>
          <cell r="T490" t="str">
            <v/>
          </cell>
          <cell r="U490" t="str">
            <v/>
          </cell>
        </row>
        <row r="491">
          <cell r="C491" t="str">
            <v>0FS28F5</v>
          </cell>
          <cell r="E491" t="str">
            <v/>
          </cell>
          <cell r="F491" t="str">
            <v/>
          </cell>
          <cell r="G491">
            <v>0</v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  <cell r="N491" t="str">
            <v/>
          </cell>
          <cell r="O491" t="str">
            <v/>
          </cell>
          <cell r="P491" t="str">
            <v/>
          </cell>
          <cell r="Q491" t="str">
            <v/>
          </cell>
          <cell r="R491" t="str">
            <v/>
          </cell>
          <cell r="S491" t="str">
            <v/>
          </cell>
          <cell r="T491" t="str">
            <v/>
          </cell>
          <cell r="U491" t="str">
            <v/>
          </cell>
        </row>
        <row r="492">
          <cell r="C492" t="str">
            <v>0FS28F6</v>
          </cell>
          <cell r="E492" t="str">
            <v/>
          </cell>
          <cell r="F492" t="str">
            <v/>
          </cell>
          <cell r="G492">
            <v>0</v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  <cell r="N492" t="str">
            <v/>
          </cell>
          <cell r="O492" t="str">
            <v/>
          </cell>
          <cell r="P492" t="str">
            <v/>
          </cell>
          <cell r="Q492" t="str">
            <v/>
          </cell>
          <cell r="R492" t="str">
            <v/>
          </cell>
          <cell r="S492" t="str">
            <v/>
          </cell>
          <cell r="T492" t="str">
            <v/>
          </cell>
          <cell r="U492" t="str">
            <v/>
          </cell>
        </row>
        <row r="494">
          <cell r="C494" t="str">
            <v/>
          </cell>
          <cell r="E494" t="str">
            <v>Composite Identification</v>
          </cell>
          <cell r="F494" t="str">
            <v xml:space="preserve"> Ply Description</v>
          </cell>
          <cell r="G494" t="str">
            <v>BV Sample Number</v>
          </cell>
          <cell r="H494" t="str">
            <v>Depth From</v>
          </cell>
          <cell r="I494" t="str">
            <v>Depth To</v>
          </cell>
          <cell r="J494" t="str">
            <v>Recovered Thickness</v>
          </cell>
          <cell r="K494" t="str">
            <v>Interval</v>
          </cell>
          <cell r="L494" t="str">
            <v>Sample Type</v>
          </cell>
          <cell r="M494" t="str">
            <v>Initial Mass Tested</v>
          </cell>
          <cell r="O494" t="str">
            <v>Final Mass</v>
          </cell>
          <cell r="P494" t="str">
            <v>Loss / Gain</v>
          </cell>
          <cell r="Q494" t="str">
            <v>Raw Coal Relative Density (calculated)</v>
          </cell>
          <cell r="R494" t="str">
            <v>Raw Coal Moisture (calculated)</v>
          </cell>
          <cell r="S494" t="str">
            <v>Raw Coal Ash (calculated)</v>
          </cell>
          <cell r="T494" t="str">
            <v>Moisture (analysed)</v>
          </cell>
          <cell r="U494" t="str">
            <v>Ash (analysed)</v>
          </cell>
        </row>
        <row r="495">
          <cell r="C495" t="str">
            <v>RC</v>
          </cell>
          <cell r="H495" t="str">
            <v>(m)</v>
          </cell>
          <cell r="I495" t="str">
            <v>(m)</v>
          </cell>
          <cell r="J495" t="str">
            <v>(m)</v>
          </cell>
          <cell r="K495" t="str">
            <v>(m)</v>
          </cell>
          <cell r="M495" t="str">
            <v>(kg)</v>
          </cell>
          <cell r="O495" t="str">
            <v>(kg)</v>
          </cell>
          <cell r="P495" t="str">
            <v>(%)</v>
          </cell>
          <cell r="Q495" t="str">
            <v>(%ad)</v>
          </cell>
          <cell r="R495" t="str">
            <v>(%ad)</v>
          </cell>
          <cell r="S495" t="str">
            <v>(%ad)</v>
          </cell>
          <cell r="T495" t="str">
            <v>(%ad)</v>
          </cell>
          <cell r="U495" t="str">
            <v>(%ad)</v>
          </cell>
        </row>
        <row r="496">
          <cell r="C496" t="str">
            <v>0RC29</v>
          </cell>
          <cell r="E496" t="str">
            <v/>
          </cell>
          <cell r="F496" t="str">
            <v/>
          </cell>
          <cell r="G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e">
            <v>#N/A</v>
          </cell>
          <cell r="O496">
            <v>1E-3</v>
          </cell>
          <cell r="P496" t="e">
            <v>#N/A</v>
          </cell>
          <cell r="Q496" t="str">
            <v/>
          </cell>
          <cell r="R496" t="str">
            <v/>
          </cell>
          <cell r="S496" t="str">
            <v/>
          </cell>
          <cell r="T496" t="str">
            <v/>
          </cell>
          <cell r="U496" t="str">
            <v/>
          </cell>
        </row>
        <row r="498">
          <cell r="E498" t="str">
            <v>Density Fraction</v>
          </cell>
          <cell r="G498" t="str">
            <v>Fractional Analyses</v>
          </cell>
          <cell r="N498" t="str">
            <v>Cumulative Analyses</v>
          </cell>
        </row>
        <row r="499">
          <cell r="G499" t="str">
            <v xml:space="preserve">Mass </v>
          </cell>
          <cell r="H499" t="str">
            <v>Moisture</v>
          </cell>
          <cell r="I499" t="str">
            <v xml:space="preserve">Ash </v>
          </cell>
          <cell r="J499" t="str">
            <v xml:space="preserve">Volatile Matter </v>
          </cell>
          <cell r="K499" t="str">
            <v>Total Sulfur</v>
          </cell>
          <cell r="L499" t="str">
            <v>Calorific Value</v>
          </cell>
          <cell r="M499" t="str">
            <v>Phosphorus In Coal</v>
          </cell>
          <cell r="N499" t="str">
            <v xml:space="preserve">Mass </v>
          </cell>
          <cell r="O499" t="str">
            <v>Moisture</v>
          </cell>
          <cell r="P499" t="str">
            <v>Ash</v>
          </cell>
          <cell r="Q499" t="str">
            <v>Volatile Matter</v>
          </cell>
          <cell r="R499" t="str">
            <v>Total Sulfur</v>
          </cell>
          <cell r="S499" t="str">
            <v>Calorific Value</v>
          </cell>
          <cell r="T499" t="str">
            <v>Phosphorus In Coal</v>
          </cell>
          <cell r="U499" t="str">
            <v>Crucible Swelling Number</v>
          </cell>
        </row>
        <row r="500">
          <cell r="E500" t="str">
            <v>Sinks</v>
          </cell>
          <cell r="F500" t="str">
            <v>Floats</v>
          </cell>
          <cell r="G500" t="str">
            <v>(%)</v>
          </cell>
          <cell r="H500" t="str">
            <v>(%ad)</v>
          </cell>
          <cell r="I500" t="str">
            <v>(%ad)</v>
          </cell>
          <cell r="J500" t="str">
            <v>(%ad)</v>
          </cell>
          <cell r="K500" t="str">
            <v>(%ad)</v>
          </cell>
          <cell r="L500" t="str">
            <v>(MJ/kg ad)</v>
          </cell>
          <cell r="M500" t="str">
            <v>(%db)</v>
          </cell>
          <cell r="N500" t="str">
            <v>(%)</v>
          </cell>
          <cell r="O500" t="str">
            <v>(%ad)</v>
          </cell>
          <cell r="P500" t="str">
            <v>(%ad)</v>
          </cell>
          <cell r="Q500" t="str">
            <v>(%ad)</v>
          </cell>
          <cell r="R500" t="str">
            <v>(%ad)</v>
          </cell>
          <cell r="S500" t="str">
            <v>(MJ/kg ad)</v>
          </cell>
          <cell r="T500" t="str">
            <v>(%db)</v>
          </cell>
        </row>
        <row r="501">
          <cell r="C501" t="str">
            <v>FS</v>
          </cell>
        </row>
        <row r="502">
          <cell r="C502" t="str">
            <v>0FS29F</v>
          </cell>
          <cell r="F502" t="str">
            <v/>
          </cell>
          <cell r="G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  <cell r="N502" t="str">
            <v/>
          </cell>
          <cell r="O502" t="str">
            <v/>
          </cell>
          <cell r="P502" t="str">
            <v/>
          </cell>
          <cell r="Q502" t="str">
            <v/>
          </cell>
          <cell r="R502" t="str">
            <v/>
          </cell>
          <cell r="S502" t="str">
            <v/>
          </cell>
          <cell r="T502" t="str">
            <v/>
          </cell>
          <cell r="U502" t="str">
            <v/>
          </cell>
        </row>
        <row r="503">
          <cell r="C503" t="str">
            <v>0FS29F</v>
          </cell>
          <cell r="E503" t="str">
            <v/>
          </cell>
          <cell r="F503" t="str">
            <v/>
          </cell>
          <cell r="G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  <cell r="N503" t="str">
            <v/>
          </cell>
          <cell r="O503" t="str">
            <v/>
          </cell>
          <cell r="P503" t="str">
            <v/>
          </cell>
          <cell r="Q503" t="str">
            <v/>
          </cell>
          <cell r="R503" t="str">
            <v/>
          </cell>
          <cell r="S503" t="str">
            <v/>
          </cell>
          <cell r="T503" t="str">
            <v/>
          </cell>
          <cell r="U503" t="str">
            <v/>
          </cell>
        </row>
        <row r="504">
          <cell r="C504" t="str">
            <v>0FS29F1</v>
          </cell>
          <cell r="E504" t="str">
            <v/>
          </cell>
          <cell r="F504" t="str">
            <v/>
          </cell>
          <cell r="G504">
            <v>100</v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  <cell r="N504">
            <v>100</v>
          </cell>
          <cell r="O504" t="str">
            <v/>
          </cell>
          <cell r="P504" t="str">
            <v/>
          </cell>
          <cell r="Q504" t="str">
            <v/>
          </cell>
          <cell r="R504" t="str">
            <v/>
          </cell>
          <cell r="S504" t="str">
            <v/>
          </cell>
          <cell r="T504" t="str">
            <v/>
          </cell>
          <cell r="U504" t="str">
            <v/>
          </cell>
        </row>
        <row r="505">
          <cell r="C505" t="str">
            <v>0FS29F2</v>
          </cell>
          <cell r="E505" t="str">
            <v/>
          </cell>
          <cell r="F505" t="str">
            <v/>
          </cell>
          <cell r="G505">
            <v>0</v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  <cell r="N505">
            <v>100</v>
          </cell>
          <cell r="O505" t="str">
            <v/>
          </cell>
          <cell r="P505" t="str">
            <v/>
          </cell>
          <cell r="Q505" t="str">
            <v/>
          </cell>
          <cell r="R505" t="str">
            <v/>
          </cell>
          <cell r="S505" t="str">
            <v/>
          </cell>
          <cell r="T505" t="str">
            <v/>
          </cell>
          <cell r="U505" t="str">
            <v/>
          </cell>
        </row>
        <row r="506">
          <cell r="C506" t="str">
            <v>0FS29F3</v>
          </cell>
          <cell r="E506" t="str">
            <v/>
          </cell>
          <cell r="F506" t="str">
            <v/>
          </cell>
          <cell r="G506">
            <v>0</v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  <cell r="N506">
            <v>100</v>
          </cell>
          <cell r="O506" t="str">
            <v/>
          </cell>
          <cell r="P506" t="str">
            <v/>
          </cell>
          <cell r="Q506" t="str">
            <v/>
          </cell>
          <cell r="R506" t="str">
            <v/>
          </cell>
          <cell r="S506" t="str">
            <v/>
          </cell>
          <cell r="T506" t="str">
            <v/>
          </cell>
          <cell r="U506" t="str">
            <v/>
          </cell>
        </row>
        <row r="507">
          <cell r="C507" t="str">
            <v>0FS29F4</v>
          </cell>
          <cell r="E507" t="str">
            <v/>
          </cell>
          <cell r="F507" t="str">
            <v/>
          </cell>
          <cell r="G507">
            <v>0</v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  <cell r="N507">
            <v>100</v>
          </cell>
          <cell r="O507" t="str">
            <v/>
          </cell>
          <cell r="P507" t="str">
            <v/>
          </cell>
          <cell r="Q507" t="str">
            <v/>
          </cell>
          <cell r="R507" t="str">
            <v/>
          </cell>
          <cell r="S507" t="str">
            <v/>
          </cell>
          <cell r="T507" t="str">
            <v/>
          </cell>
          <cell r="U507" t="str">
            <v/>
          </cell>
        </row>
        <row r="508">
          <cell r="C508" t="str">
            <v>0FS29F5</v>
          </cell>
          <cell r="E508" t="str">
            <v/>
          </cell>
          <cell r="F508" t="str">
            <v/>
          </cell>
          <cell r="G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  <cell r="N508" t="str">
            <v/>
          </cell>
          <cell r="O508" t="str">
            <v/>
          </cell>
          <cell r="P508" t="str">
            <v/>
          </cell>
          <cell r="Q508" t="str">
            <v/>
          </cell>
          <cell r="R508" t="str">
            <v/>
          </cell>
          <cell r="S508" t="str">
            <v/>
          </cell>
          <cell r="T508" t="str">
            <v/>
          </cell>
          <cell r="U508" t="str">
            <v/>
          </cell>
        </row>
        <row r="509">
          <cell r="C509" t="str">
            <v>0FS29F6</v>
          </cell>
          <cell r="E509" t="str">
            <v/>
          </cell>
          <cell r="F509" t="str">
            <v/>
          </cell>
          <cell r="G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  <cell r="N509" t="str">
            <v/>
          </cell>
          <cell r="O509" t="str">
            <v/>
          </cell>
          <cell r="P509" t="str">
            <v/>
          </cell>
          <cell r="Q509" t="str">
            <v/>
          </cell>
          <cell r="R509" t="str">
            <v/>
          </cell>
          <cell r="S509" t="str">
            <v/>
          </cell>
          <cell r="T509" t="str">
            <v/>
          </cell>
          <cell r="U509" t="str">
            <v/>
          </cell>
        </row>
        <row r="511">
          <cell r="E511" t="str">
            <v>Composite Identification</v>
          </cell>
          <cell r="F511" t="str">
            <v xml:space="preserve"> Ply Description</v>
          </cell>
          <cell r="G511" t="str">
            <v>BV Sample Number</v>
          </cell>
          <cell r="H511" t="str">
            <v>Depth From</v>
          </cell>
          <cell r="I511" t="str">
            <v>Depth To</v>
          </cell>
          <cell r="J511" t="str">
            <v>Recovered Thickness</v>
          </cell>
          <cell r="K511" t="str">
            <v>Interval</v>
          </cell>
          <cell r="L511" t="str">
            <v>Sample Type</v>
          </cell>
          <cell r="M511" t="str">
            <v>Initial Mass Tested</v>
          </cell>
          <cell r="O511" t="str">
            <v>Final Mass</v>
          </cell>
          <cell r="P511" t="str">
            <v>Loss / Gain</v>
          </cell>
          <cell r="Q511" t="str">
            <v>Raw Coal Relative Density (calculated)</v>
          </cell>
          <cell r="R511" t="str">
            <v>Raw Coal Moisture (calculated)</v>
          </cell>
          <cell r="S511" t="str">
            <v>Raw Coal Ash (calculated)</v>
          </cell>
          <cell r="T511" t="str">
            <v>Moisture (analysed)</v>
          </cell>
          <cell r="U511" t="str">
            <v>Ash (analysed)</v>
          </cell>
        </row>
        <row r="512">
          <cell r="C512" t="str">
            <v>RC</v>
          </cell>
          <cell r="H512" t="str">
            <v>(m)</v>
          </cell>
          <cell r="I512" t="str">
            <v>(m)</v>
          </cell>
          <cell r="J512" t="str">
            <v>(m)</v>
          </cell>
          <cell r="K512" t="str">
            <v>(m)</v>
          </cell>
          <cell r="M512" t="str">
            <v>(kg)</v>
          </cell>
          <cell r="O512" t="str">
            <v>(kg)</v>
          </cell>
          <cell r="P512" t="str">
            <v>(%)</v>
          </cell>
          <cell r="Q512" t="str">
            <v>(%ad)</v>
          </cell>
          <cell r="R512" t="str">
            <v>(%ad)</v>
          </cell>
          <cell r="S512" t="str">
            <v>(%ad)</v>
          </cell>
          <cell r="T512" t="str">
            <v>(%ad)</v>
          </cell>
          <cell r="U512" t="str">
            <v>(%ad)</v>
          </cell>
        </row>
        <row r="513">
          <cell r="C513" t="str">
            <v>0RC30</v>
          </cell>
          <cell r="E513" t="str">
            <v/>
          </cell>
          <cell r="F513" t="str">
            <v/>
          </cell>
          <cell r="G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e">
            <v>#N/A</v>
          </cell>
          <cell r="O513">
            <v>1E-3</v>
          </cell>
          <cell r="P513" t="e">
            <v>#N/A</v>
          </cell>
          <cell r="Q513" t="str">
            <v/>
          </cell>
          <cell r="R513" t="str">
            <v/>
          </cell>
          <cell r="S513" t="str">
            <v/>
          </cell>
          <cell r="T513" t="str">
            <v/>
          </cell>
          <cell r="U513" t="str">
            <v/>
          </cell>
        </row>
        <row r="515">
          <cell r="E515" t="str">
            <v>Density Fraction</v>
          </cell>
          <cell r="G515" t="str">
            <v>Fractional Analyses</v>
          </cell>
          <cell r="N515" t="str">
            <v>Cumulative Analyses</v>
          </cell>
        </row>
        <row r="516">
          <cell r="G516" t="str">
            <v xml:space="preserve">Mass </v>
          </cell>
          <cell r="H516" t="str">
            <v>Moisture</v>
          </cell>
          <cell r="I516" t="str">
            <v xml:space="preserve">Ash </v>
          </cell>
          <cell r="J516" t="str">
            <v xml:space="preserve">Volatile Matter </v>
          </cell>
          <cell r="K516" t="str">
            <v>Total Sulfur</v>
          </cell>
          <cell r="L516" t="str">
            <v>Calorific Value</v>
          </cell>
          <cell r="M516" t="str">
            <v>Phosphorus In Coal</v>
          </cell>
          <cell r="N516" t="str">
            <v xml:space="preserve">Mass </v>
          </cell>
          <cell r="O516" t="str">
            <v>Moisture</v>
          </cell>
          <cell r="P516" t="str">
            <v>Ash</v>
          </cell>
          <cell r="Q516" t="str">
            <v>Volatile Matter</v>
          </cell>
          <cell r="R516" t="str">
            <v>Total Sulfur</v>
          </cell>
          <cell r="S516" t="str">
            <v>Calorific Value</v>
          </cell>
          <cell r="T516" t="str">
            <v>Phosphorus In Coal</v>
          </cell>
          <cell r="U516" t="str">
            <v>Crucible Swelling Number</v>
          </cell>
        </row>
        <row r="517">
          <cell r="E517" t="str">
            <v>Sinks</v>
          </cell>
          <cell r="F517" t="str">
            <v>Floats</v>
          </cell>
          <cell r="G517" t="str">
            <v>(%)</v>
          </cell>
          <cell r="H517" t="str">
            <v>(%ad)</v>
          </cell>
          <cell r="I517" t="str">
            <v>(%ad)</v>
          </cell>
          <cell r="J517" t="str">
            <v>(%ad)</v>
          </cell>
          <cell r="K517" t="str">
            <v>(%ad)</v>
          </cell>
          <cell r="L517" t="str">
            <v>(MJ/kg ad)</v>
          </cell>
          <cell r="M517" t="str">
            <v>(%db)</v>
          </cell>
          <cell r="N517" t="str">
            <v>(%)</v>
          </cell>
          <cell r="O517" t="str">
            <v>(%ad)</v>
          </cell>
          <cell r="P517" t="str">
            <v>(%ad)</v>
          </cell>
          <cell r="Q517" t="str">
            <v>(%ad)</v>
          </cell>
          <cell r="R517" t="str">
            <v>(%ad)</v>
          </cell>
          <cell r="S517" t="str">
            <v>(MJ/kg ad)</v>
          </cell>
          <cell r="T517" t="str">
            <v>(%db)</v>
          </cell>
        </row>
        <row r="518">
          <cell r="C518" t="str">
            <v>FS</v>
          </cell>
        </row>
        <row r="519">
          <cell r="C519" t="str">
            <v>0FS30F</v>
          </cell>
          <cell r="F519" t="str">
            <v/>
          </cell>
          <cell r="G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  <cell r="N519" t="str">
            <v/>
          </cell>
          <cell r="O519" t="str">
            <v/>
          </cell>
          <cell r="P519" t="str">
            <v/>
          </cell>
          <cell r="Q519" t="str">
            <v/>
          </cell>
          <cell r="R519" t="str">
            <v/>
          </cell>
          <cell r="S519" t="str">
            <v/>
          </cell>
          <cell r="T519" t="str">
            <v/>
          </cell>
          <cell r="U519" t="str">
            <v/>
          </cell>
        </row>
        <row r="520">
          <cell r="C520" t="str">
            <v>0FS30F</v>
          </cell>
          <cell r="E520" t="str">
            <v/>
          </cell>
          <cell r="F520" t="str">
            <v/>
          </cell>
          <cell r="G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  <cell r="N520" t="str">
            <v/>
          </cell>
          <cell r="O520" t="str">
            <v/>
          </cell>
          <cell r="P520" t="str">
            <v/>
          </cell>
          <cell r="Q520" t="str">
            <v/>
          </cell>
          <cell r="R520" t="str">
            <v/>
          </cell>
          <cell r="S520" t="str">
            <v/>
          </cell>
          <cell r="T520" t="str">
            <v/>
          </cell>
          <cell r="U520" t="str">
            <v/>
          </cell>
        </row>
        <row r="521">
          <cell r="C521" t="str">
            <v>0FS30F1</v>
          </cell>
          <cell r="E521" t="str">
            <v/>
          </cell>
          <cell r="F521" t="str">
            <v/>
          </cell>
          <cell r="G521">
            <v>100</v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  <cell r="N521">
            <v>100</v>
          </cell>
          <cell r="O521" t="str">
            <v/>
          </cell>
          <cell r="P521" t="str">
            <v/>
          </cell>
          <cell r="Q521" t="str">
            <v/>
          </cell>
          <cell r="R521" t="str">
            <v/>
          </cell>
          <cell r="S521" t="str">
            <v/>
          </cell>
          <cell r="T521" t="str">
            <v/>
          </cell>
          <cell r="U521" t="str">
            <v/>
          </cell>
        </row>
        <row r="522">
          <cell r="C522" t="str">
            <v>0FS30F2</v>
          </cell>
          <cell r="E522" t="str">
            <v/>
          </cell>
          <cell r="F522" t="str">
            <v/>
          </cell>
          <cell r="G522">
            <v>0</v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  <cell r="N522">
            <v>100</v>
          </cell>
          <cell r="O522" t="str">
            <v/>
          </cell>
          <cell r="P522" t="str">
            <v/>
          </cell>
          <cell r="Q522" t="str">
            <v/>
          </cell>
          <cell r="R522" t="str">
            <v/>
          </cell>
          <cell r="S522" t="str">
            <v/>
          </cell>
          <cell r="T522" t="str">
            <v/>
          </cell>
          <cell r="U522" t="str">
            <v/>
          </cell>
        </row>
        <row r="523">
          <cell r="C523" t="str">
            <v>0FS30F3</v>
          </cell>
          <cell r="E523" t="str">
            <v/>
          </cell>
          <cell r="F523" t="str">
            <v/>
          </cell>
          <cell r="G523">
            <v>0</v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  <cell r="N523">
            <v>100</v>
          </cell>
          <cell r="O523" t="str">
            <v/>
          </cell>
          <cell r="P523" t="str">
            <v/>
          </cell>
          <cell r="Q523" t="str">
            <v/>
          </cell>
          <cell r="R523" t="str">
            <v/>
          </cell>
          <cell r="S523" t="str">
            <v/>
          </cell>
          <cell r="T523" t="str">
            <v/>
          </cell>
          <cell r="U523" t="str">
            <v/>
          </cell>
        </row>
        <row r="524">
          <cell r="C524" t="str">
            <v>0FS30F4</v>
          </cell>
          <cell r="E524" t="str">
            <v/>
          </cell>
          <cell r="F524" t="str">
            <v/>
          </cell>
          <cell r="G524">
            <v>0</v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  <cell r="N524">
            <v>100</v>
          </cell>
          <cell r="O524" t="str">
            <v/>
          </cell>
          <cell r="P524" t="str">
            <v/>
          </cell>
          <cell r="Q524" t="str">
            <v/>
          </cell>
          <cell r="R524" t="str">
            <v/>
          </cell>
          <cell r="S524" t="str">
            <v/>
          </cell>
          <cell r="T524" t="str">
            <v/>
          </cell>
          <cell r="U524" t="str">
            <v/>
          </cell>
        </row>
        <row r="525">
          <cell r="C525" t="str">
            <v>0FS30F5</v>
          </cell>
          <cell r="E525" t="str">
            <v/>
          </cell>
          <cell r="F525" t="str">
            <v/>
          </cell>
          <cell r="G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  <cell r="N525" t="str">
            <v/>
          </cell>
          <cell r="O525" t="str">
            <v/>
          </cell>
          <cell r="P525" t="str">
            <v/>
          </cell>
          <cell r="Q525" t="str">
            <v/>
          </cell>
          <cell r="R525" t="str">
            <v/>
          </cell>
          <cell r="S525" t="str">
            <v/>
          </cell>
          <cell r="T525" t="str">
            <v/>
          </cell>
          <cell r="U525" t="str">
            <v/>
          </cell>
        </row>
        <row r="526">
          <cell r="C526" t="str">
            <v>0FS30F6</v>
          </cell>
          <cell r="E526" t="str">
            <v/>
          </cell>
          <cell r="F526" t="str">
            <v/>
          </cell>
          <cell r="G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  <cell r="N526" t="str">
            <v/>
          </cell>
          <cell r="O526" t="str">
            <v/>
          </cell>
          <cell r="P526" t="str">
            <v/>
          </cell>
          <cell r="Q526" t="str">
            <v/>
          </cell>
          <cell r="R526" t="str">
            <v/>
          </cell>
          <cell r="S526" t="str">
            <v/>
          </cell>
          <cell r="T526" t="str">
            <v/>
          </cell>
          <cell r="U526" t="str">
            <v/>
          </cell>
        </row>
        <row r="529">
          <cell r="C529" t="str">
            <v/>
          </cell>
          <cell r="E529" t="str">
            <v>Composite Identification</v>
          </cell>
          <cell r="F529" t="str">
            <v xml:space="preserve"> Ply Description</v>
          </cell>
          <cell r="G529" t="str">
            <v>BV Sample Number</v>
          </cell>
          <cell r="H529" t="str">
            <v>Depth From</v>
          </cell>
          <cell r="I529" t="str">
            <v>Depth To</v>
          </cell>
          <cell r="J529" t="str">
            <v>Recovered Thickness</v>
          </cell>
          <cell r="K529" t="str">
            <v>Interval</v>
          </cell>
          <cell r="L529" t="str">
            <v>Sample Type</v>
          </cell>
          <cell r="M529" t="str">
            <v>Initial Mass Tested</v>
          </cell>
          <cell r="O529" t="str">
            <v>Final Mass</v>
          </cell>
          <cell r="P529" t="str">
            <v>Loss / Gain</v>
          </cell>
          <cell r="Q529" t="str">
            <v>Raw Coal Relative Density (calculated)</v>
          </cell>
          <cell r="R529" t="str">
            <v>Raw Coal Moisture (calculated)</v>
          </cell>
          <cell r="S529" t="str">
            <v>Raw Coal Ash (calculated)</v>
          </cell>
          <cell r="T529" t="str">
            <v>Moisture (analysed)</v>
          </cell>
          <cell r="U529" t="str">
            <v>Ash (analysed)</v>
          </cell>
        </row>
        <row r="530">
          <cell r="C530" t="str">
            <v>RC</v>
          </cell>
          <cell r="H530" t="str">
            <v>(m)</v>
          </cell>
          <cell r="I530" t="str">
            <v>(m)</v>
          </cell>
          <cell r="J530" t="str">
            <v>(m)</v>
          </cell>
          <cell r="K530" t="str">
            <v>(m)</v>
          </cell>
          <cell r="M530" t="str">
            <v>(kg)</v>
          </cell>
          <cell r="O530" t="str">
            <v>(kg)</v>
          </cell>
          <cell r="P530" t="str">
            <v>(%)</v>
          </cell>
          <cell r="Q530" t="str">
            <v>(%ad)</v>
          </cell>
          <cell r="R530" t="str">
            <v>(%ad)</v>
          </cell>
          <cell r="S530" t="str">
            <v>(%ad)</v>
          </cell>
          <cell r="T530" t="str">
            <v>(%ad)</v>
          </cell>
          <cell r="U530" t="str">
            <v>(%ad)</v>
          </cell>
        </row>
        <row r="531">
          <cell r="C531" t="str">
            <v>0RC31</v>
          </cell>
          <cell r="E531" t="str">
            <v/>
          </cell>
          <cell r="F531" t="str">
            <v/>
          </cell>
          <cell r="G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e">
            <v>#N/A</v>
          </cell>
          <cell r="O531">
            <v>1E-3</v>
          </cell>
          <cell r="P531" t="e">
            <v>#N/A</v>
          </cell>
          <cell r="Q531" t="str">
            <v/>
          </cell>
          <cell r="R531" t="str">
            <v/>
          </cell>
          <cell r="S531" t="str">
            <v/>
          </cell>
          <cell r="T531" t="str">
            <v/>
          </cell>
          <cell r="U531" t="str">
            <v/>
          </cell>
        </row>
        <row r="533">
          <cell r="E533" t="str">
            <v>Density Fraction</v>
          </cell>
          <cell r="G533" t="str">
            <v>Fractional Analyses</v>
          </cell>
          <cell r="N533" t="str">
            <v>Cumulative Analyses</v>
          </cell>
        </row>
        <row r="534">
          <cell r="G534" t="str">
            <v xml:space="preserve">Mass </v>
          </cell>
          <cell r="H534" t="str">
            <v>Moisture</v>
          </cell>
          <cell r="I534" t="str">
            <v xml:space="preserve">Ash </v>
          </cell>
          <cell r="J534" t="str">
            <v xml:space="preserve">Volatile Matter </v>
          </cell>
          <cell r="K534" t="str">
            <v>Total Sulfur</v>
          </cell>
          <cell r="L534" t="str">
            <v>Calorific Value</v>
          </cell>
          <cell r="M534" t="str">
            <v>Phosphorus In Coal</v>
          </cell>
          <cell r="N534" t="str">
            <v xml:space="preserve">Mass </v>
          </cell>
          <cell r="O534" t="str">
            <v>Moisture</v>
          </cell>
          <cell r="P534" t="str">
            <v>Ash</v>
          </cell>
          <cell r="Q534" t="str">
            <v>Volatile Matter</v>
          </cell>
          <cell r="R534" t="str">
            <v>Total Sulfur</v>
          </cell>
          <cell r="S534" t="str">
            <v>Calorific Value</v>
          </cell>
          <cell r="T534" t="str">
            <v>Phosphorus In Coal</v>
          </cell>
          <cell r="U534" t="str">
            <v>Crucible Swelling Number</v>
          </cell>
        </row>
        <row r="535">
          <cell r="E535" t="str">
            <v>Sinks</v>
          </cell>
          <cell r="F535" t="str">
            <v>Floats</v>
          </cell>
          <cell r="G535" t="str">
            <v>(%)</v>
          </cell>
          <cell r="H535" t="str">
            <v>(%ad)</v>
          </cell>
          <cell r="I535" t="str">
            <v>(%ad)</v>
          </cell>
          <cell r="J535" t="str">
            <v>(%ad)</v>
          </cell>
          <cell r="K535" t="str">
            <v>(%ad)</v>
          </cell>
          <cell r="L535" t="str">
            <v>(MJ/kg ad)</v>
          </cell>
          <cell r="M535" t="str">
            <v>(%db)</v>
          </cell>
          <cell r="N535" t="str">
            <v>(%)</v>
          </cell>
          <cell r="O535" t="str">
            <v>(%ad)</v>
          </cell>
          <cell r="P535" t="str">
            <v>(%ad)</v>
          </cell>
          <cell r="Q535" t="str">
            <v>(%ad)</v>
          </cell>
          <cell r="R535" t="str">
            <v>(%ad)</v>
          </cell>
          <cell r="S535" t="str">
            <v>(MJ/kg ad)</v>
          </cell>
          <cell r="T535" t="str">
            <v>(%db)</v>
          </cell>
        </row>
        <row r="536">
          <cell r="C536" t="str">
            <v>FS</v>
          </cell>
        </row>
        <row r="537">
          <cell r="C537" t="str">
            <v>0FS31F</v>
          </cell>
          <cell r="F537" t="str">
            <v/>
          </cell>
          <cell r="G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  <cell r="N537" t="str">
            <v/>
          </cell>
          <cell r="O537" t="str">
            <v/>
          </cell>
          <cell r="P537" t="str">
            <v/>
          </cell>
          <cell r="Q537" t="str">
            <v/>
          </cell>
          <cell r="R537" t="str">
            <v/>
          </cell>
          <cell r="S537" t="str">
            <v/>
          </cell>
          <cell r="T537" t="str">
            <v/>
          </cell>
          <cell r="U537" t="str">
            <v/>
          </cell>
        </row>
        <row r="538">
          <cell r="C538" t="str">
            <v>0FS31F</v>
          </cell>
          <cell r="E538" t="str">
            <v/>
          </cell>
          <cell r="F538" t="str">
            <v/>
          </cell>
          <cell r="G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  <cell r="N538" t="str">
            <v/>
          </cell>
          <cell r="O538" t="str">
            <v/>
          </cell>
          <cell r="P538" t="str">
            <v/>
          </cell>
          <cell r="Q538" t="str">
            <v/>
          </cell>
          <cell r="R538" t="str">
            <v/>
          </cell>
          <cell r="S538" t="str">
            <v/>
          </cell>
          <cell r="T538" t="str">
            <v/>
          </cell>
          <cell r="U538" t="str">
            <v/>
          </cell>
        </row>
        <row r="539">
          <cell r="C539" t="str">
            <v>0FS31F1</v>
          </cell>
          <cell r="E539" t="str">
            <v/>
          </cell>
          <cell r="F539" t="str">
            <v/>
          </cell>
          <cell r="G539">
            <v>100</v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  <cell r="N539">
            <v>100</v>
          </cell>
          <cell r="O539" t="str">
            <v/>
          </cell>
          <cell r="P539" t="str">
            <v/>
          </cell>
          <cell r="Q539" t="str">
            <v/>
          </cell>
          <cell r="R539" t="str">
            <v/>
          </cell>
          <cell r="S539" t="str">
            <v/>
          </cell>
          <cell r="T539" t="str">
            <v/>
          </cell>
          <cell r="U539" t="str">
            <v/>
          </cell>
        </row>
        <row r="540">
          <cell r="C540" t="str">
            <v>0FS31F2</v>
          </cell>
          <cell r="E540" t="str">
            <v/>
          </cell>
          <cell r="F540" t="str">
            <v/>
          </cell>
          <cell r="G540">
            <v>0</v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  <cell r="N540">
            <v>100</v>
          </cell>
          <cell r="O540" t="str">
            <v/>
          </cell>
          <cell r="P540" t="str">
            <v/>
          </cell>
          <cell r="Q540" t="str">
            <v/>
          </cell>
          <cell r="R540" t="str">
            <v/>
          </cell>
          <cell r="S540" t="str">
            <v/>
          </cell>
          <cell r="T540" t="str">
            <v/>
          </cell>
          <cell r="U540" t="str">
            <v/>
          </cell>
        </row>
        <row r="541">
          <cell r="C541" t="str">
            <v>0FS31F3</v>
          </cell>
          <cell r="E541" t="str">
            <v/>
          </cell>
          <cell r="F541" t="str">
            <v/>
          </cell>
          <cell r="G541">
            <v>0</v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  <cell r="N541">
            <v>100</v>
          </cell>
          <cell r="O541" t="str">
            <v/>
          </cell>
          <cell r="P541" t="str">
            <v/>
          </cell>
          <cell r="Q541" t="str">
            <v/>
          </cell>
          <cell r="R541" t="str">
            <v/>
          </cell>
          <cell r="S541" t="str">
            <v/>
          </cell>
          <cell r="T541" t="str">
            <v/>
          </cell>
          <cell r="U541" t="str">
            <v/>
          </cell>
        </row>
        <row r="542">
          <cell r="C542" t="str">
            <v>0FS31F4</v>
          </cell>
          <cell r="E542" t="str">
            <v/>
          </cell>
          <cell r="F542" t="str">
            <v/>
          </cell>
          <cell r="G542">
            <v>0</v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  <cell r="N542">
            <v>100</v>
          </cell>
          <cell r="O542" t="str">
            <v/>
          </cell>
          <cell r="P542" t="str">
            <v/>
          </cell>
          <cell r="Q542" t="str">
            <v/>
          </cell>
          <cell r="R542" t="str">
            <v/>
          </cell>
          <cell r="S542" t="str">
            <v/>
          </cell>
          <cell r="T542" t="str">
            <v/>
          </cell>
          <cell r="U542" t="str">
            <v/>
          </cell>
        </row>
        <row r="543">
          <cell r="C543" t="str">
            <v>0FS31F5</v>
          </cell>
          <cell r="E543" t="str">
            <v/>
          </cell>
          <cell r="F543" t="str">
            <v/>
          </cell>
          <cell r="G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  <cell r="N543" t="str">
            <v/>
          </cell>
          <cell r="O543" t="str">
            <v/>
          </cell>
          <cell r="P543" t="str">
            <v/>
          </cell>
          <cell r="Q543" t="str">
            <v/>
          </cell>
          <cell r="R543" t="str">
            <v/>
          </cell>
          <cell r="S543" t="str">
            <v/>
          </cell>
          <cell r="T543" t="str">
            <v/>
          </cell>
          <cell r="U543" t="str">
            <v/>
          </cell>
        </row>
        <row r="544">
          <cell r="C544" t="str">
            <v>0FS31F6</v>
          </cell>
          <cell r="E544" t="str">
            <v/>
          </cell>
          <cell r="F544" t="str">
            <v/>
          </cell>
          <cell r="G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  <cell r="N544" t="str">
            <v/>
          </cell>
          <cell r="O544" t="str">
            <v/>
          </cell>
          <cell r="P544" t="str">
            <v/>
          </cell>
          <cell r="Q544" t="str">
            <v/>
          </cell>
          <cell r="R544" t="str">
            <v/>
          </cell>
          <cell r="S544" t="str">
            <v/>
          </cell>
          <cell r="T544" t="str">
            <v/>
          </cell>
          <cell r="U544" t="str">
            <v/>
          </cell>
        </row>
        <row r="546">
          <cell r="E546" t="str">
            <v>Composite Identification</v>
          </cell>
          <cell r="F546" t="str">
            <v xml:space="preserve"> Ply Description</v>
          </cell>
          <cell r="G546" t="str">
            <v>BV Sample Number</v>
          </cell>
          <cell r="H546" t="str">
            <v>Depth From</v>
          </cell>
          <cell r="I546" t="str">
            <v>Depth To</v>
          </cell>
          <cell r="J546" t="str">
            <v>Recovered Thickness</v>
          </cell>
          <cell r="K546" t="str">
            <v>Interval</v>
          </cell>
          <cell r="L546" t="str">
            <v>Sample Type</v>
          </cell>
          <cell r="M546" t="str">
            <v>Initial Mass Tested</v>
          </cell>
          <cell r="O546" t="str">
            <v>Final Mass</v>
          </cell>
          <cell r="P546" t="str">
            <v>Loss / Gain</v>
          </cell>
          <cell r="Q546" t="str">
            <v>Raw Coal Relative Density (calculated)</v>
          </cell>
          <cell r="R546" t="str">
            <v>Raw Coal Moisture (calculated)</v>
          </cell>
          <cell r="S546" t="str">
            <v>Raw Coal Ash (calculated)</v>
          </cell>
          <cell r="T546" t="str">
            <v>Moisture (analysed)</v>
          </cell>
          <cell r="U546" t="str">
            <v>Ash (analysed)</v>
          </cell>
        </row>
        <row r="547">
          <cell r="C547" t="str">
            <v>RC</v>
          </cell>
          <cell r="H547" t="str">
            <v>(m)</v>
          </cell>
          <cell r="I547" t="str">
            <v>(m)</v>
          </cell>
          <cell r="J547" t="str">
            <v>(m)</v>
          </cell>
          <cell r="K547" t="str">
            <v>(m)</v>
          </cell>
          <cell r="M547" t="str">
            <v>(kg)</v>
          </cell>
          <cell r="O547" t="str">
            <v>(kg)</v>
          </cell>
          <cell r="P547" t="str">
            <v>(%)</v>
          </cell>
          <cell r="Q547" t="str">
            <v>(%ad)</v>
          </cell>
          <cell r="R547" t="str">
            <v>(%ad)</v>
          </cell>
          <cell r="S547" t="str">
            <v>(%ad)</v>
          </cell>
          <cell r="T547" t="str">
            <v>(%ad)</v>
          </cell>
          <cell r="U547" t="str">
            <v>(%ad)</v>
          </cell>
        </row>
        <row r="548">
          <cell r="C548" t="str">
            <v>0RC32</v>
          </cell>
          <cell r="E548" t="str">
            <v/>
          </cell>
          <cell r="F548" t="str">
            <v/>
          </cell>
          <cell r="G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e">
            <v>#N/A</v>
          </cell>
          <cell r="O548">
            <v>1E-3</v>
          </cell>
          <cell r="P548" t="e">
            <v>#N/A</v>
          </cell>
          <cell r="Q548" t="str">
            <v/>
          </cell>
          <cell r="R548" t="str">
            <v/>
          </cell>
          <cell r="S548" t="str">
            <v/>
          </cell>
          <cell r="T548" t="str">
            <v/>
          </cell>
          <cell r="U548" t="str">
            <v/>
          </cell>
        </row>
        <row r="550">
          <cell r="E550" t="str">
            <v>Density Fraction</v>
          </cell>
          <cell r="G550" t="str">
            <v>Fractional Analyses</v>
          </cell>
          <cell r="N550" t="str">
            <v>Cumulative Analyses</v>
          </cell>
        </row>
        <row r="551">
          <cell r="G551" t="str">
            <v xml:space="preserve">Mass </v>
          </cell>
          <cell r="H551" t="str">
            <v>Moisture</v>
          </cell>
          <cell r="I551" t="str">
            <v xml:space="preserve">Ash </v>
          </cell>
          <cell r="J551" t="str">
            <v xml:space="preserve">Volatile Matter </v>
          </cell>
          <cell r="K551" t="str">
            <v>Total Sulfur</v>
          </cell>
          <cell r="L551" t="str">
            <v>Calorific Value</v>
          </cell>
          <cell r="M551" t="str">
            <v>Phosphorus In Coal</v>
          </cell>
          <cell r="N551" t="str">
            <v xml:space="preserve">Mass </v>
          </cell>
          <cell r="O551" t="str">
            <v>Moisture</v>
          </cell>
          <cell r="P551" t="str">
            <v>Ash</v>
          </cell>
          <cell r="Q551" t="str">
            <v>Volatile Matter</v>
          </cell>
          <cell r="R551" t="str">
            <v>Total Sulfur</v>
          </cell>
          <cell r="S551" t="str">
            <v>Calorific Value</v>
          </cell>
          <cell r="T551" t="str">
            <v>Phosphorus In Coal</v>
          </cell>
          <cell r="U551" t="str">
            <v>Crucible Swelling Number</v>
          </cell>
        </row>
        <row r="552">
          <cell r="E552" t="str">
            <v>Sinks</v>
          </cell>
          <cell r="F552" t="str">
            <v>Floats</v>
          </cell>
          <cell r="G552" t="str">
            <v>(%)</v>
          </cell>
          <cell r="H552" t="str">
            <v>(%ad)</v>
          </cell>
          <cell r="I552" t="str">
            <v>(%ad)</v>
          </cell>
          <cell r="J552" t="str">
            <v>(%ad)</v>
          </cell>
          <cell r="K552" t="str">
            <v>(%ad)</v>
          </cell>
          <cell r="L552" t="str">
            <v>(MJ/kg ad)</v>
          </cell>
          <cell r="M552" t="str">
            <v>(%db)</v>
          </cell>
          <cell r="N552" t="str">
            <v>(%)</v>
          </cell>
          <cell r="O552" t="str">
            <v>(%ad)</v>
          </cell>
          <cell r="P552" t="str">
            <v>(%ad)</v>
          </cell>
          <cell r="Q552" t="str">
            <v>(%ad)</v>
          </cell>
          <cell r="R552" t="str">
            <v>(%ad)</v>
          </cell>
          <cell r="S552" t="str">
            <v>(MJ/kg ad)</v>
          </cell>
          <cell r="T552" t="str">
            <v>(%db)</v>
          </cell>
        </row>
        <row r="553">
          <cell r="C553" t="str">
            <v>FS</v>
          </cell>
        </row>
        <row r="554">
          <cell r="C554" t="str">
            <v>0FS32F</v>
          </cell>
          <cell r="F554" t="str">
            <v/>
          </cell>
          <cell r="G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  <cell r="N554" t="str">
            <v/>
          </cell>
          <cell r="O554" t="str">
            <v/>
          </cell>
          <cell r="P554" t="str">
            <v/>
          </cell>
          <cell r="Q554" t="str">
            <v/>
          </cell>
          <cell r="R554" t="str">
            <v/>
          </cell>
          <cell r="S554" t="str">
            <v/>
          </cell>
          <cell r="T554" t="str">
            <v/>
          </cell>
          <cell r="U554" t="str">
            <v/>
          </cell>
        </row>
        <row r="555">
          <cell r="C555" t="str">
            <v>0FS32F</v>
          </cell>
          <cell r="E555" t="str">
            <v/>
          </cell>
          <cell r="F555" t="str">
            <v/>
          </cell>
          <cell r="G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  <cell r="N555" t="str">
            <v/>
          </cell>
          <cell r="O555" t="str">
            <v/>
          </cell>
          <cell r="P555" t="str">
            <v/>
          </cell>
          <cell r="Q555" t="str">
            <v/>
          </cell>
          <cell r="R555" t="str">
            <v/>
          </cell>
          <cell r="S555" t="str">
            <v/>
          </cell>
          <cell r="T555" t="str">
            <v/>
          </cell>
          <cell r="U555" t="str">
            <v/>
          </cell>
        </row>
        <row r="556">
          <cell r="C556" t="str">
            <v>0FS32F1</v>
          </cell>
          <cell r="E556" t="str">
            <v/>
          </cell>
          <cell r="F556" t="str">
            <v/>
          </cell>
          <cell r="G556">
            <v>100</v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  <cell r="N556">
            <v>100</v>
          </cell>
          <cell r="O556" t="str">
            <v/>
          </cell>
          <cell r="P556" t="str">
            <v/>
          </cell>
          <cell r="Q556" t="str">
            <v/>
          </cell>
          <cell r="R556" t="str">
            <v/>
          </cell>
          <cell r="S556" t="str">
            <v/>
          </cell>
          <cell r="T556" t="str">
            <v/>
          </cell>
          <cell r="U556" t="str">
            <v/>
          </cell>
        </row>
        <row r="557">
          <cell r="C557" t="str">
            <v>0FS32F2</v>
          </cell>
          <cell r="E557" t="str">
            <v/>
          </cell>
          <cell r="F557" t="str">
            <v/>
          </cell>
          <cell r="G557">
            <v>0</v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  <cell r="N557">
            <v>100</v>
          </cell>
          <cell r="O557" t="str">
            <v/>
          </cell>
          <cell r="P557" t="str">
            <v/>
          </cell>
          <cell r="Q557" t="str">
            <v/>
          </cell>
          <cell r="R557" t="str">
            <v/>
          </cell>
          <cell r="S557" t="str">
            <v/>
          </cell>
          <cell r="T557" t="str">
            <v/>
          </cell>
          <cell r="U557" t="str">
            <v/>
          </cell>
        </row>
        <row r="558">
          <cell r="C558" t="str">
            <v>0FS32F3</v>
          </cell>
          <cell r="E558" t="str">
            <v/>
          </cell>
          <cell r="F558" t="str">
            <v/>
          </cell>
          <cell r="G558">
            <v>0</v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  <cell r="N558">
            <v>100</v>
          </cell>
          <cell r="O558" t="str">
            <v/>
          </cell>
          <cell r="P558" t="str">
            <v/>
          </cell>
          <cell r="Q558" t="str">
            <v/>
          </cell>
          <cell r="R558" t="str">
            <v/>
          </cell>
          <cell r="S558" t="str">
            <v/>
          </cell>
          <cell r="T558" t="str">
            <v/>
          </cell>
          <cell r="U558" t="str">
            <v/>
          </cell>
        </row>
        <row r="559">
          <cell r="C559" t="str">
            <v>0FS32F4</v>
          </cell>
          <cell r="E559" t="str">
            <v/>
          </cell>
          <cell r="F559" t="str">
            <v/>
          </cell>
          <cell r="G559">
            <v>0</v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  <cell r="N559">
            <v>100</v>
          </cell>
          <cell r="O559" t="str">
            <v/>
          </cell>
          <cell r="P559" t="str">
            <v/>
          </cell>
          <cell r="Q559" t="str">
            <v/>
          </cell>
          <cell r="R559" t="str">
            <v/>
          </cell>
          <cell r="S559" t="str">
            <v/>
          </cell>
          <cell r="T559" t="str">
            <v/>
          </cell>
          <cell r="U559" t="str">
            <v/>
          </cell>
        </row>
        <row r="560">
          <cell r="C560" t="str">
            <v>0FS32F5</v>
          </cell>
          <cell r="E560" t="str">
            <v/>
          </cell>
          <cell r="F560" t="str">
            <v/>
          </cell>
          <cell r="G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  <cell r="N560" t="str">
            <v/>
          </cell>
          <cell r="O560" t="str">
            <v/>
          </cell>
          <cell r="P560" t="str">
            <v/>
          </cell>
          <cell r="Q560" t="str">
            <v/>
          </cell>
          <cell r="R560" t="str">
            <v/>
          </cell>
          <cell r="S560" t="str">
            <v/>
          </cell>
          <cell r="T560" t="str">
            <v/>
          </cell>
          <cell r="U560" t="str">
            <v/>
          </cell>
        </row>
        <row r="561">
          <cell r="C561" t="str">
            <v>0FS32F6</v>
          </cell>
          <cell r="E561" t="str">
            <v/>
          </cell>
          <cell r="F561" t="str">
            <v/>
          </cell>
          <cell r="G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  <cell r="N561" t="str">
            <v/>
          </cell>
          <cell r="O561" t="str">
            <v/>
          </cell>
          <cell r="P561" t="str">
            <v/>
          </cell>
          <cell r="Q561" t="str">
            <v/>
          </cell>
          <cell r="R561" t="str">
            <v/>
          </cell>
          <cell r="S561" t="str">
            <v/>
          </cell>
          <cell r="T561" t="str">
            <v/>
          </cell>
          <cell r="U561" t="str">
            <v/>
          </cell>
        </row>
        <row r="563">
          <cell r="C563" t="str">
            <v/>
          </cell>
          <cell r="E563" t="str">
            <v>Composite Identification</v>
          </cell>
          <cell r="F563" t="str">
            <v xml:space="preserve"> Ply Description</v>
          </cell>
          <cell r="G563" t="str">
            <v>BV Sample Number</v>
          </cell>
          <cell r="H563" t="str">
            <v>Depth From</v>
          </cell>
          <cell r="I563" t="str">
            <v>Depth To</v>
          </cell>
          <cell r="J563" t="str">
            <v>Recovered Thickness</v>
          </cell>
          <cell r="K563" t="str">
            <v>Interval</v>
          </cell>
          <cell r="L563" t="str">
            <v>Sample Type</v>
          </cell>
          <cell r="M563" t="str">
            <v>Initial Mass Tested</v>
          </cell>
          <cell r="O563" t="str">
            <v>Final Mass</v>
          </cell>
          <cell r="P563" t="str">
            <v>Loss / Gain</v>
          </cell>
          <cell r="Q563" t="str">
            <v>Raw Coal Relative Density (calculated)</v>
          </cell>
          <cell r="R563" t="str">
            <v>Raw Coal Moisture (calculated)</v>
          </cell>
          <cell r="S563" t="str">
            <v>Raw Coal Ash (calculated)</v>
          </cell>
          <cell r="T563" t="str">
            <v>Moisture (analysed)</v>
          </cell>
          <cell r="U563" t="str">
            <v>Ash (analysed)</v>
          </cell>
        </row>
        <row r="564">
          <cell r="C564" t="str">
            <v>RC</v>
          </cell>
          <cell r="H564" t="str">
            <v>(m)</v>
          </cell>
          <cell r="I564" t="str">
            <v>(m)</v>
          </cell>
          <cell r="J564" t="str">
            <v>(m)</v>
          </cell>
          <cell r="K564" t="str">
            <v>(m)</v>
          </cell>
          <cell r="M564" t="str">
            <v>(kg)</v>
          </cell>
          <cell r="O564" t="str">
            <v>(kg)</v>
          </cell>
          <cell r="P564" t="str">
            <v>(%)</v>
          </cell>
          <cell r="Q564" t="str">
            <v>(%ad)</v>
          </cell>
          <cell r="R564" t="str">
            <v>(%ad)</v>
          </cell>
          <cell r="S564" t="str">
            <v>(%ad)</v>
          </cell>
          <cell r="T564" t="str">
            <v>(%ad)</v>
          </cell>
          <cell r="U564" t="str">
            <v>(%ad)</v>
          </cell>
        </row>
        <row r="565">
          <cell r="C565" t="str">
            <v>0RC33</v>
          </cell>
          <cell r="E565" t="str">
            <v/>
          </cell>
          <cell r="F565" t="str">
            <v/>
          </cell>
          <cell r="G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e">
            <v>#N/A</v>
          </cell>
          <cell r="O565">
            <v>1E-3</v>
          </cell>
          <cell r="P565" t="e">
            <v>#N/A</v>
          </cell>
          <cell r="Q565" t="str">
            <v/>
          </cell>
          <cell r="R565" t="str">
            <v/>
          </cell>
          <cell r="S565" t="str">
            <v/>
          </cell>
          <cell r="T565" t="str">
            <v/>
          </cell>
          <cell r="U565" t="str">
            <v/>
          </cell>
        </row>
        <row r="567">
          <cell r="E567" t="str">
            <v>Density Fraction</v>
          </cell>
          <cell r="G567" t="str">
            <v>Fractional Analyses</v>
          </cell>
          <cell r="N567" t="str">
            <v>Cumulative Analyses</v>
          </cell>
        </row>
        <row r="568">
          <cell r="G568" t="str">
            <v xml:space="preserve">Mass </v>
          </cell>
          <cell r="H568" t="str">
            <v>Moisture</v>
          </cell>
          <cell r="I568" t="str">
            <v xml:space="preserve">Ash </v>
          </cell>
          <cell r="J568" t="str">
            <v xml:space="preserve">Volatile Matter </v>
          </cell>
          <cell r="K568" t="str">
            <v>Total Sulfur</v>
          </cell>
          <cell r="L568" t="str">
            <v>Calorific Value</v>
          </cell>
          <cell r="M568" t="str">
            <v>Phosphorus In Coal</v>
          </cell>
          <cell r="N568" t="str">
            <v xml:space="preserve">Mass </v>
          </cell>
          <cell r="O568" t="str">
            <v>Moisture</v>
          </cell>
          <cell r="P568" t="str">
            <v>Ash</v>
          </cell>
          <cell r="Q568" t="str">
            <v>Volatile Matter</v>
          </cell>
          <cell r="R568" t="str">
            <v>Total Sulfur</v>
          </cell>
          <cell r="S568" t="str">
            <v>Calorific Value</v>
          </cell>
          <cell r="T568" t="str">
            <v>Phosphorus In Coal</v>
          </cell>
          <cell r="U568" t="str">
            <v>Crucible Swelling Number</v>
          </cell>
        </row>
        <row r="569">
          <cell r="E569" t="str">
            <v>Sinks</v>
          </cell>
          <cell r="F569" t="str">
            <v>Floats</v>
          </cell>
          <cell r="G569" t="str">
            <v>(%)</v>
          </cell>
          <cell r="H569" t="str">
            <v>(%ad)</v>
          </cell>
          <cell r="I569" t="str">
            <v>(%ad)</v>
          </cell>
          <cell r="J569" t="str">
            <v>(%ad)</v>
          </cell>
          <cell r="K569" t="str">
            <v>(%ad)</v>
          </cell>
          <cell r="L569" t="str">
            <v>(MJ/kg ad)</v>
          </cell>
          <cell r="M569" t="str">
            <v>(%db)</v>
          </cell>
          <cell r="N569" t="str">
            <v>(%)</v>
          </cell>
          <cell r="O569" t="str">
            <v>(%ad)</v>
          </cell>
          <cell r="P569" t="str">
            <v>(%ad)</v>
          </cell>
          <cell r="Q569" t="str">
            <v>(%ad)</v>
          </cell>
          <cell r="R569" t="str">
            <v>(%ad)</v>
          </cell>
          <cell r="S569" t="str">
            <v>(MJ/kg ad)</v>
          </cell>
          <cell r="T569" t="str">
            <v>(%db)</v>
          </cell>
        </row>
        <row r="570">
          <cell r="C570" t="str">
            <v>FS</v>
          </cell>
        </row>
        <row r="571">
          <cell r="C571" t="str">
            <v>0FS33F</v>
          </cell>
          <cell r="F571" t="str">
            <v/>
          </cell>
          <cell r="G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  <cell r="N571" t="str">
            <v/>
          </cell>
          <cell r="O571" t="str">
            <v/>
          </cell>
          <cell r="P571" t="str">
            <v/>
          </cell>
          <cell r="Q571" t="str">
            <v/>
          </cell>
          <cell r="R571" t="str">
            <v/>
          </cell>
          <cell r="S571" t="str">
            <v/>
          </cell>
          <cell r="T571" t="str">
            <v/>
          </cell>
          <cell r="U571" t="str">
            <v/>
          </cell>
        </row>
        <row r="572">
          <cell r="C572" t="str">
            <v>0FS33F</v>
          </cell>
          <cell r="E572" t="str">
            <v/>
          </cell>
          <cell r="F572" t="str">
            <v/>
          </cell>
          <cell r="G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  <cell r="N572" t="str">
            <v/>
          </cell>
          <cell r="O572" t="str">
            <v/>
          </cell>
          <cell r="P572" t="str">
            <v/>
          </cell>
          <cell r="Q572" t="str">
            <v/>
          </cell>
          <cell r="R572" t="str">
            <v/>
          </cell>
          <cell r="S572" t="str">
            <v/>
          </cell>
          <cell r="T572" t="str">
            <v/>
          </cell>
          <cell r="U572" t="str">
            <v/>
          </cell>
        </row>
        <row r="573">
          <cell r="C573" t="str">
            <v>0FS33F1</v>
          </cell>
          <cell r="E573" t="str">
            <v/>
          </cell>
          <cell r="F573" t="str">
            <v/>
          </cell>
          <cell r="G573">
            <v>100</v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  <cell r="N573">
            <v>100</v>
          </cell>
          <cell r="O573" t="str">
            <v/>
          </cell>
          <cell r="P573" t="str">
            <v/>
          </cell>
          <cell r="Q573" t="str">
            <v/>
          </cell>
          <cell r="R573" t="str">
            <v/>
          </cell>
          <cell r="S573" t="str">
            <v/>
          </cell>
          <cell r="T573" t="str">
            <v/>
          </cell>
          <cell r="U573" t="str">
            <v/>
          </cell>
        </row>
        <row r="574">
          <cell r="C574" t="str">
            <v>0FS33F2</v>
          </cell>
          <cell r="E574" t="str">
            <v/>
          </cell>
          <cell r="F574" t="str">
            <v/>
          </cell>
          <cell r="G574">
            <v>0</v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  <cell r="N574">
            <v>100</v>
          </cell>
          <cell r="O574" t="str">
            <v/>
          </cell>
          <cell r="P574" t="str">
            <v/>
          </cell>
          <cell r="Q574" t="str">
            <v/>
          </cell>
          <cell r="R574" t="str">
            <v/>
          </cell>
          <cell r="S574" t="str">
            <v/>
          </cell>
          <cell r="T574" t="str">
            <v/>
          </cell>
          <cell r="U574" t="str">
            <v/>
          </cell>
        </row>
        <row r="575">
          <cell r="C575" t="str">
            <v>0FS33F3</v>
          </cell>
          <cell r="E575" t="str">
            <v/>
          </cell>
          <cell r="F575" t="str">
            <v/>
          </cell>
          <cell r="G575">
            <v>0</v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  <cell r="N575">
            <v>100</v>
          </cell>
          <cell r="O575" t="str">
            <v/>
          </cell>
          <cell r="P575" t="str">
            <v/>
          </cell>
          <cell r="Q575" t="str">
            <v/>
          </cell>
          <cell r="R575" t="str">
            <v/>
          </cell>
          <cell r="S575" t="str">
            <v/>
          </cell>
          <cell r="T575" t="str">
            <v/>
          </cell>
          <cell r="U575" t="str">
            <v/>
          </cell>
        </row>
        <row r="576">
          <cell r="C576" t="str">
            <v>0FS33F4</v>
          </cell>
          <cell r="E576" t="str">
            <v/>
          </cell>
          <cell r="F576" t="str">
            <v/>
          </cell>
          <cell r="G576">
            <v>0</v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  <cell r="N576">
            <v>100</v>
          </cell>
          <cell r="O576" t="str">
            <v/>
          </cell>
          <cell r="P576" t="str">
            <v/>
          </cell>
          <cell r="Q576" t="str">
            <v/>
          </cell>
          <cell r="R576" t="str">
            <v/>
          </cell>
          <cell r="S576" t="str">
            <v/>
          </cell>
          <cell r="T576" t="str">
            <v/>
          </cell>
          <cell r="U576" t="str">
            <v/>
          </cell>
        </row>
        <row r="577">
          <cell r="C577" t="str">
            <v>0FS33F5</v>
          </cell>
          <cell r="E577" t="str">
            <v/>
          </cell>
          <cell r="F577" t="str">
            <v/>
          </cell>
          <cell r="G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  <cell r="N577" t="str">
            <v/>
          </cell>
          <cell r="O577" t="str">
            <v/>
          </cell>
          <cell r="P577" t="str">
            <v/>
          </cell>
          <cell r="Q577" t="str">
            <v/>
          </cell>
          <cell r="R577" t="str">
            <v/>
          </cell>
          <cell r="S577" t="str">
            <v/>
          </cell>
          <cell r="T577" t="str">
            <v/>
          </cell>
          <cell r="U577" t="str">
            <v/>
          </cell>
        </row>
        <row r="578">
          <cell r="C578" t="str">
            <v>0FS33F6</v>
          </cell>
          <cell r="E578" t="str">
            <v/>
          </cell>
          <cell r="F578" t="str">
            <v/>
          </cell>
          <cell r="G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  <cell r="N578" t="str">
            <v/>
          </cell>
          <cell r="O578" t="str">
            <v/>
          </cell>
          <cell r="P578" t="str">
            <v/>
          </cell>
          <cell r="Q578" t="str">
            <v/>
          </cell>
          <cell r="R578" t="str">
            <v/>
          </cell>
          <cell r="S578" t="str">
            <v/>
          </cell>
          <cell r="T578" t="str">
            <v/>
          </cell>
          <cell r="U578" t="str">
            <v/>
          </cell>
        </row>
        <row r="580">
          <cell r="E580" t="str">
            <v>Composite Identification</v>
          </cell>
          <cell r="F580" t="str">
            <v xml:space="preserve"> Ply Description</v>
          </cell>
          <cell r="G580" t="str">
            <v>BV Sample Number</v>
          </cell>
          <cell r="H580" t="str">
            <v>Depth From</v>
          </cell>
          <cell r="I580" t="str">
            <v>Depth To</v>
          </cell>
          <cell r="J580" t="str">
            <v>Recovered Thickness</v>
          </cell>
          <cell r="K580" t="str">
            <v>Interval</v>
          </cell>
          <cell r="L580" t="str">
            <v>Sample Type</v>
          </cell>
          <cell r="M580" t="str">
            <v>Initial Mass Tested</v>
          </cell>
          <cell r="O580" t="str">
            <v>Final Mass</v>
          </cell>
          <cell r="P580" t="str">
            <v>Loss / Gain</v>
          </cell>
          <cell r="Q580" t="str">
            <v>Raw Coal Relative Density (calculated)</v>
          </cell>
          <cell r="R580" t="str">
            <v>Raw Coal Moisture (calculated)</v>
          </cell>
          <cell r="S580" t="str">
            <v>Raw Coal Ash (calculated)</v>
          </cell>
          <cell r="T580" t="str">
            <v>Moisture (analysed)</v>
          </cell>
          <cell r="U580" t="str">
            <v>Ash (analysed)</v>
          </cell>
        </row>
        <row r="581">
          <cell r="C581" t="str">
            <v>RC</v>
          </cell>
          <cell r="H581" t="str">
            <v>(m)</v>
          </cell>
          <cell r="I581" t="str">
            <v>(m)</v>
          </cell>
          <cell r="J581" t="str">
            <v>(m)</v>
          </cell>
          <cell r="K581" t="str">
            <v>(m)</v>
          </cell>
          <cell r="M581" t="str">
            <v>(kg)</v>
          </cell>
          <cell r="O581" t="str">
            <v>(kg)</v>
          </cell>
          <cell r="P581" t="str">
            <v>(%)</v>
          </cell>
          <cell r="Q581" t="str">
            <v>(%ad)</v>
          </cell>
          <cell r="R581" t="str">
            <v>(%ad)</v>
          </cell>
          <cell r="S581" t="str">
            <v>(%ad)</v>
          </cell>
          <cell r="T581" t="str">
            <v>(%ad)</v>
          </cell>
          <cell r="U581" t="str">
            <v>(%ad)</v>
          </cell>
        </row>
        <row r="582">
          <cell r="C582" t="str">
            <v>0RC34</v>
          </cell>
          <cell r="E582" t="str">
            <v/>
          </cell>
          <cell r="F582" t="str">
            <v/>
          </cell>
          <cell r="G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e">
            <v>#N/A</v>
          </cell>
          <cell r="O582">
            <v>1E-3</v>
          </cell>
          <cell r="P582" t="e">
            <v>#N/A</v>
          </cell>
          <cell r="Q582" t="str">
            <v/>
          </cell>
          <cell r="R582" t="str">
            <v/>
          </cell>
          <cell r="S582" t="str">
            <v/>
          </cell>
          <cell r="T582" t="str">
            <v/>
          </cell>
          <cell r="U582" t="str">
            <v/>
          </cell>
        </row>
        <row r="584">
          <cell r="E584" t="str">
            <v>Density Fraction</v>
          </cell>
          <cell r="G584" t="str">
            <v>Fractional Analyses</v>
          </cell>
          <cell r="N584" t="str">
            <v>Cumulative Analyses</v>
          </cell>
        </row>
        <row r="585">
          <cell r="G585" t="str">
            <v xml:space="preserve">Mass </v>
          </cell>
          <cell r="H585" t="str">
            <v>Moisture</v>
          </cell>
          <cell r="I585" t="str">
            <v xml:space="preserve">Ash </v>
          </cell>
          <cell r="J585" t="str">
            <v xml:space="preserve">Volatile Matter </v>
          </cell>
          <cell r="K585" t="str">
            <v>Total Sulfur</v>
          </cell>
          <cell r="L585" t="str">
            <v>Calorific Value</v>
          </cell>
          <cell r="M585" t="str">
            <v>Phosphorus In Coal</v>
          </cell>
          <cell r="N585" t="str">
            <v xml:space="preserve">Mass </v>
          </cell>
          <cell r="O585" t="str">
            <v>Moisture</v>
          </cell>
          <cell r="P585" t="str">
            <v>Ash</v>
          </cell>
          <cell r="Q585" t="str">
            <v>Volatile Matter</v>
          </cell>
          <cell r="R585" t="str">
            <v>Total Sulfur</v>
          </cell>
          <cell r="S585" t="str">
            <v>Calorific Value</v>
          </cell>
          <cell r="T585" t="str">
            <v>Phosphorus In Coal</v>
          </cell>
          <cell r="U585" t="str">
            <v>Crucible Swelling Number</v>
          </cell>
        </row>
        <row r="586">
          <cell r="E586" t="str">
            <v>Sinks</v>
          </cell>
          <cell r="F586" t="str">
            <v>Floats</v>
          </cell>
          <cell r="G586" t="str">
            <v>(%)</v>
          </cell>
          <cell r="H586" t="str">
            <v>(%ad)</v>
          </cell>
          <cell r="I586" t="str">
            <v>(%ad)</v>
          </cell>
          <cell r="J586" t="str">
            <v>(%ad)</v>
          </cell>
          <cell r="K586" t="str">
            <v>(%ad)</v>
          </cell>
          <cell r="L586" t="str">
            <v>(MJ/kg ad)</v>
          </cell>
          <cell r="M586" t="str">
            <v>(%db)</v>
          </cell>
          <cell r="N586" t="str">
            <v>(%)</v>
          </cell>
          <cell r="O586" t="str">
            <v>(%ad)</v>
          </cell>
          <cell r="P586" t="str">
            <v>(%ad)</v>
          </cell>
          <cell r="Q586" t="str">
            <v>(%ad)</v>
          </cell>
          <cell r="R586" t="str">
            <v>(%ad)</v>
          </cell>
          <cell r="S586" t="str">
            <v>(MJ/kg ad)</v>
          </cell>
          <cell r="T586" t="str">
            <v>(%db)</v>
          </cell>
        </row>
        <row r="587">
          <cell r="C587" t="str">
            <v>FS</v>
          </cell>
        </row>
        <row r="588">
          <cell r="C588" t="str">
            <v>0FS34F</v>
          </cell>
          <cell r="F588" t="str">
            <v/>
          </cell>
          <cell r="G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  <cell r="N588" t="str">
            <v/>
          </cell>
          <cell r="O588" t="str">
            <v/>
          </cell>
          <cell r="P588" t="str">
            <v/>
          </cell>
          <cell r="Q588" t="str">
            <v/>
          </cell>
          <cell r="R588" t="str">
            <v/>
          </cell>
          <cell r="S588" t="str">
            <v/>
          </cell>
          <cell r="T588" t="str">
            <v/>
          </cell>
          <cell r="U588" t="str">
            <v/>
          </cell>
        </row>
        <row r="589">
          <cell r="C589" t="str">
            <v>0FS34F</v>
          </cell>
          <cell r="E589" t="str">
            <v/>
          </cell>
          <cell r="F589" t="str">
            <v/>
          </cell>
          <cell r="G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  <cell r="N589" t="str">
            <v/>
          </cell>
          <cell r="O589" t="str">
            <v/>
          </cell>
          <cell r="P589" t="str">
            <v/>
          </cell>
          <cell r="Q589" t="str">
            <v/>
          </cell>
          <cell r="R589" t="str">
            <v/>
          </cell>
          <cell r="S589" t="str">
            <v/>
          </cell>
          <cell r="T589" t="str">
            <v/>
          </cell>
          <cell r="U589" t="str">
            <v/>
          </cell>
        </row>
        <row r="590">
          <cell r="C590" t="str">
            <v>0FS34F1</v>
          </cell>
          <cell r="E590" t="str">
            <v/>
          </cell>
          <cell r="F590" t="str">
            <v/>
          </cell>
          <cell r="G590">
            <v>100</v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  <cell r="N590">
            <v>100</v>
          </cell>
          <cell r="O590" t="str">
            <v/>
          </cell>
          <cell r="P590" t="str">
            <v/>
          </cell>
          <cell r="Q590" t="str">
            <v/>
          </cell>
          <cell r="R590" t="str">
            <v/>
          </cell>
          <cell r="S590" t="str">
            <v/>
          </cell>
          <cell r="T590" t="str">
            <v/>
          </cell>
          <cell r="U590" t="str">
            <v/>
          </cell>
        </row>
        <row r="591">
          <cell r="C591" t="str">
            <v>0FS34F2</v>
          </cell>
          <cell r="E591" t="str">
            <v/>
          </cell>
          <cell r="F591" t="str">
            <v/>
          </cell>
          <cell r="G591">
            <v>0</v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  <cell r="N591">
            <v>100</v>
          </cell>
          <cell r="O591" t="str">
            <v/>
          </cell>
          <cell r="P591" t="str">
            <v/>
          </cell>
          <cell r="Q591" t="str">
            <v/>
          </cell>
          <cell r="R591" t="str">
            <v/>
          </cell>
          <cell r="S591" t="str">
            <v/>
          </cell>
          <cell r="T591" t="str">
            <v/>
          </cell>
          <cell r="U591" t="str">
            <v/>
          </cell>
        </row>
        <row r="592">
          <cell r="C592" t="str">
            <v>0FS34F3</v>
          </cell>
          <cell r="E592" t="str">
            <v/>
          </cell>
          <cell r="F592" t="str">
            <v/>
          </cell>
          <cell r="G592">
            <v>0</v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  <cell r="N592">
            <v>100</v>
          </cell>
          <cell r="O592" t="str">
            <v/>
          </cell>
          <cell r="P592" t="str">
            <v/>
          </cell>
          <cell r="Q592" t="str">
            <v/>
          </cell>
          <cell r="R592" t="str">
            <v/>
          </cell>
          <cell r="S592" t="str">
            <v/>
          </cell>
          <cell r="T592" t="str">
            <v/>
          </cell>
          <cell r="U592" t="str">
            <v/>
          </cell>
        </row>
        <row r="593">
          <cell r="C593" t="str">
            <v>0FS34F4</v>
          </cell>
          <cell r="E593" t="str">
            <v/>
          </cell>
          <cell r="F593" t="str">
            <v/>
          </cell>
          <cell r="G593">
            <v>0</v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  <cell r="N593">
            <v>100</v>
          </cell>
          <cell r="O593" t="str">
            <v/>
          </cell>
          <cell r="P593" t="str">
            <v/>
          </cell>
          <cell r="Q593" t="str">
            <v/>
          </cell>
          <cell r="R593" t="str">
            <v/>
          </cell>
          <cell r="S593" t="str">
            <v/>
          </cell>
          <cell r="T593" t="str">
            <v/>
          </cell>
          <cell r="U593" t="str">
            <v/>
          </cell>
        </row>
        <row r="594">
          <cell r="C594" t="str">
            <v>0FS34F5</v>
          </cell>
          <cell r="E594" t="str">
            <v/>
          </cell>
          <cell r="F594" t="str">
            <v/>
          </cell>
          <cell r="G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  <cell r="N594" t="str">
            <v/>
          </cell>
          <cell r="O594" t="str">
            <v/>
          </cell>
          <cell r="P594" t="str">
            <v/>
          </cell>
          <cell r="Q594" t="str">
            <v/>
          </cell>
          <cell r="R594" t="str">
            <v/>
          </cell>
          <cell r="S594" t="str">
            <v/>
          </cell>
          <cell r="T594" t="str">
            <v/>
          </cell>
          <cell r="U594" t="str">
            <v/>
          </cell>
        </row>
        <row r="595">
          <cell r="C595" t="str">
            <v>0FS34F6</v>
          </cell>
          <cell r="E595" t="str">
            <v/>
          </cell>
          <cell r="F595" t="str">
            <v/>
          </cell>
          <cell r="G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  <cell r="N595" t="str">
            <v/>
          </cell>
          <cell r="O595" t="str">
            <v/>
          </cell>
          <cell r="P595" t="str">
            <v/>
          </cell>
          <cell r="Q595" t="str">
            <v/>
          </cell>
          <cell r="R595" t="str">
            <v/>
          </cell>
          <cell r="S595" t="str">
            <v/>
          </cell>
          <cell r="T595" t="str">
            <v/>
          </cell>
          <cell r="U595" t="str">
            <v/>
          </cell>
        </row>
        <row r="598">
          <cell r="C598" t="str">
            <v/>
          </cell>
          <cell r="E598" t="str">
            <v>Composite Identification</v>
          </cell>
          <cell r="F598" t="str">
            <v xml:space="preserve"> Ply Description</v>
          </cell>
          <cell r="G598" t="str">
            <v>BV Sample Number</v>
          </cell>
          <cell r="H598" t="str">
            <v>Depth From</v>
          </cell>
          <cell r="I598" t="str">
            <v>Depth To</v>
          </cell>
          <cell r="J598" t="str">
            <v>Recovered Thickness</v>
          </cell>
          <cell r="K598" t="str">
            <v>Interval</v>
          </cell>
          <cell r="L598" t="str">
            <v>Sample Type</v>
          </cell>
          <cell r="M598" t="str">
            <v>Initial Mass Tested</v>
          </cell>
          <cell r="O598" t="str">
            <v>Final Mass</v>
          </cell>
          <cell r="P598" t="str">
            <v>Loss / Gain</v>
          </cell>
          <cell r="Q598" t="str">
            <v>Raw Coal Relative Density (calculated)</v>
          </cell>
          <cell r="R598" t="str">
            <v>Raw Coal Moisture (calculated)</v>
          </cell>
          <cell r="S598" t="str">
            <v>Raw Coal Ash (calculated)</v>
          </cell>
          <cell r="T598" t="str">
            <v>Moisture (analysed)</v>
          </cell>
          <cell r="U598" t="str">
            <v>Ash (analysed)</v>
          </cell>
        </row>
        <row r="599">
          <cell r="C599" t="str">
            <v>RC</v>
          </cell>
          <cell r="H599" t="str">
            <v>(m)</v>
          </cell>
          <cell r="I599" t="str">
            <v>(m)</v>
          </cell>
          <cell r="J599" t="str">
            <v>(m)</v>
          </cell>
          <cell r="K599" t="str">
            <v>(m)</v>
          </cell>
          <cell r="M599" t="str">
            <v>(kg)</v>
          </cell>
          <cell r="O599" t="str">
            <v>(kg)</v>
          </cell>
          <cell r="P599" t="str">
            <v>(%)</v>
          </cell>
          <cell r="Q599" t="str">
            <v>(%ad)</v>
          </cell>
          <cell r="R599" t="str">
            <v>(%ad)</v>
          </cell>
          <cell r="S599" t="str">
            <v>(%ad)</v>
          </cell>
          <cell r="T599" t="str">
            <v>(%ad)</v>
          </cell>
          <cell r="U599" t="str">
            <v>(%ad)</v>
          </cell>
        </row>
        <row r="600">
          <cell r="C600" t="str">
            <v>0RC35</v>
          </cell>
          <cell r="E600" t="str">
            <v/>
          </cell>
          <cell r="F600" t="str">
            <v/>
          </cell>
          <cell r="G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e">
            <v>#N/A</v>
          </cell>
          <cell r="O600">
            <v>1E-3</v>
          </cell>
          <cell r="P600" t="e">
            <v>#N/A</v>
          </cell>
          <cell r="Q600" t="str">
            <v/>
          </cell>
          <cell r="R600" t="str">
            <v/>
          </cell>
          <cell r="S600" t="str">
            <v/>
          </cell>
          <cell r="T600" t="str">
            <v/>
          </cell>
          <cell r="U600" t="str">
            <v/>
          </cell>
        </row>
        <row r="602">
          <cell r="E602" t="str">
            <v>Density Fraction</v>
          </cell>
          <cell r="G602" t="str">
            <v>Fractional Analyses</v>
          </cell>
          <cell r="N602" t="str">
            <v>Cumulative Analyses</v>
          </cell>
        </row>
        <row r="603">
          <cell r="G603" t="str">
            <v xml:space="preserve">Mass </v>
          </cell>
          <cell r="H603" t="str">
            <v>Moisture</v>
          </cell>
          <cell r="I603" t="str">
            <v xml:space="preserve">Ash </v>
          </cell>
          <cell r="J603" t="str">
            <v xml:space="preserve">Volatile Matter </v>
          </cell>
          <cell r="K603" t="str">
            <v>Total Sulfur</v>
          </cell>
          <cell r="L603" t="str">
            <v>Calorific Value</v>
          </cell>
          <cell r="M603" t="str">
            <v>Phosphorus In Coal</v>
          </cell>
          <cell r="N603" t="str">
            <v xml:space="preserve">Mass </v>
          </cell>
          <cell r="O603" t="str">
            <v>Moisture</v>
          </cell>
          <cell r="P603" t="str">
            <v>Ash</v>
          </cell>
          <cell r="Q603" t="str">
            <v>Volatile Matter</v>
          </cell>
          <cell r="R603" t="str">
            <v>Total Sulfur</v>
          </cell>
          <cell r="S603" t="str">
            <v>Calorific Value</v>
          </cell>
          <cell r="T603" t="str">
            <v>Phosphorus In Coal</v>
          </cell>
          <cell r="U603" t="str">
            <v>Crucible Swelling Number</v>
          </cell>
        </row>
        <row r="604">
          <cell r="E604" t="str">
            <v>Sinks</v>
          </cell>
          <cell r="F604" t="str">
            <v>Floats</v>
          </cell>
          <cell r="G604" t="str">
            <v>(%)</v>
          </cell>
          <cell r="H604" t="str">
            <v>(%ad)</v>
          </cell>
          <cell r="I604" t="str">
            <v>(%ad)</v>
          </cell>
          <cell r="J604" t="str">
            <v>(%ad)</v>
          </cell>
          <cell r="K604" t="str">
            <v>(%ad)</v>
          </cell>
          <cell r="L604" t="str">
            <v>(MJ/kg ad)</v>
          </cell>
          <cell r="M604" t="str">
            <v>(%db)</v>
          </cell>
          <cell r="N604" t="str">
            <v>(%)</v>
          </cell>
          <cell r="O604" t="str">
            <v>(%ad)</v>
          </cell>
          <cell r="P604" t="str">
            <v>(%ad)</v>
          </cell>
          <cell r="Q604" t="str">
            <v>(%ad)</v>
          </cell>
          <cell r="R604" t="str">
            <v>(%ad)</v>
          </cell>
          <cell r="S604" t="str">
            <v>(MJ/kg ad)</v>
          </cell>
          <cell r="T604" t="str">
            <v>(%db)</v>
          </cell>
        </row>
        <row r="605">
          <cell r="C605" t="str">
            <v>FS</v>
          </cell>
        </row>
        <row r="606">
          <cell r="C606" t="str">
            <v>0FS35F</v>
          </cell>
          <cell r="F606" t="str">
            <v/>
          </cell>
          <cell r="G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  <cell r="N606" t="str">
            <v/>
          </cell>
          <cell r="O606" t="str">
            <v/>
          </cell>
          <cell r="P606" t="str">
            <v/>
          </cell>
          <cell r="Q606" t="str">
            <v/>
          </cell>
          <cell r="R606" t="str">
            <v/>
          </cell>
          <cell r="S606" t="str">
            <v/>
          </cell>
          <cell r="T606" t="str">
            <v/>
          </cell>
          <cell r="U606" t="str">
            <v/>
          </cell>
        </row>
        <row r="607">
          <cell r="C607" t="str">
            <v>0FS35F</v>
          </cell>
          <cell r="E607" t="str">
            <v/>
          </cell>
          <cell r="F607" t="str">
            <v/>
          </cell>
          <cell r="G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  <cell r="N607" t="str">
            <v/>
          </cell>
          <cell r="O607" t="str">
            <v/>
          </cell>
          <cell r="P607" t="str">
            <v/>
          </cell>
          <cell r="Q607" t="str">
            <v/>
          </cell>
          <cell r="R607" t="str">
            <v/>
          </cell>
          <cell r="S607" t="str">
            <v/>
          </cell>
          <cell r="T607" t="str">
            <v/>
          </cell>
          <cell r="U607" t="str">
            <v/>
          </cell>
        </row>
        <row r="608">
          <cell r="C608" t="str">
            <v>0FS35F1</v>
          </cell>
          <cell r="E608" t="str">
            <v/>
          </cell>
          <cell r="F608" t="str">
            <v/>
          </cell>
          <cell r="G608">
            <v>100</v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  <cell r="N608">
            <v>100</v>
          </cell>
          <cell r="O608" t="str">
            <v/>
          </cell>
          <cell r="P608" t="str">
            <v/>
          </cell>
          <cell r="Q608" t="str">
            <v/>
          </cell>
          <cell r="R608" t="str">
            <v/>
          </cell>
          <cell r="S608" t="str">
            <v/>
          </cell>
          <cell r="T608" t="str">
            <v/>
          </cell>
          <cell r="U608" t="str">
            <v/>
          </cell>
        </row>
        <row r="609">
          <cell r="C609" t="str">
            <v>0FS35F2</v>
          </cell>
          <cell r="E609" t="str">
            <v/>
          </cell>
          <cell r="F609" t="str">
            <v/>
          </cell>
          <cell r="G609">
            <v>0</v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  <cell r="N609">
            <v>100</v>
          </cell>
          <cell r="O609" t="str">
            <v/>
          </cell>
          <cell r="P609" t="str">
            <v/>
          </cell>
          <cell r="Q609" t="str">
            <v/>
          </cell>
          <cell r="R609" t="str">
            <v/>
          </cell>
          <cell r="S609" t="str">
            <v/>
          </cell>
          <cell r="T609" t="str">
            <v/>
          </cell>
          <cell r="U609" t="str">
            <v/>
          </cell>
        </row>
        <row r="610">
          <cell r="C610" t="str">
            <v>0FS35F3</v>
          </cell>
          <cell r="E610" t="str">
            <v/>
          </cell>
          <cell r="F610" t="str">
            <v/>
          </cell>
          <cell r="G610">
            <v>0</v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  <cell r="N610">
            <v>100</v>
          </cell>
          <cell r="O610" t="str">
            <v/>
          </cell>
          <cell r="P610" t="str">
            <v/>
          </cell>
          <cell r="Q610" t="str">
            <v/>
          </cell>
          <cell r="R610" t="str">
            <v/>
          </cell>
          <cell r="S610" t="str">
            <v/>
          </cell>
          <cell r="T610" t="str">
            <v/>
          </cell>
          <cell r="U610" t="str">
            <v/>
          </cell>
        </row>
        <row r="611">
          <cell r="C611" t="str">
            <v>0FS35F4</v>
          </cell>
          <cell r="E611" t="str">
            <v/>
          </cell>
          <cell r="F611" t="str">
            <v/>
          </cell>
          <cell r="G611">
            <v>0</v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  <cell r="N611">
            <v>100</v>
          </cell>
          <cell r="O611" t="str">
            <v/>
          </cell>
          <cell r="P611" t="str">
            <v/>
          </cell>
          <cell r="Q611" t="str">
            <v/>
          </cell>
          <cell r="R611" t="str">
            <v/>
          </cell>
          <cell r="S611" t="str">
            <v/>
          </cell>
          <cell r="T611" t="str">
            <v/>
          </cell>
          <cell r="U611" t="str">
            <v/>
          </cell>
        </row>
        <row r="612">
          <cell r="C612" t="str">
            <v>0FS35F5</v>
          </cell>
          <cell r="E612" t="str">
            <v/>
          </cell>
          <cell r="F612" t="str">
            <v/>
          </cell>
          <cell r="G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  <cell r="N612" t="str">
            <v/>
          </cell>
          <cell r="O612" t="str">
            <v/>
          </cell>
          <cell r="P612" t="str">
            <v/>
          </cell>
          <cell r="Q612" t="str">
            <v/>
          </cell>
          <cell r="R612" t="str">
            <v/>
          </cell>
          <cell r="S612" t="str">
            <v/>
          </cell>
          <cell r="T612" t="str">
            <v/>
          </cell>
          <cell r="U612" t="str">
            <v/>
          </cell>
        </row>
        <row r="613">
          <cell r="C613" t="str">
            <v>0FS35F6</v>
          </cell>
          <cell r="E613" t="str">
            <v/>
          </cell>
          <cell r="F613" t="str">
            <v/>
          </cell>
          <cell r="G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  <cell r="N613" t="str">
            <v/>
          </cell>
          <cell r="O613" t="str">
            <v/>
          </cell>
          <cell r="P613" t="str">
            <v/>
          </cell>
          <cell r="Q613" t="str">
            <v/>
          </cell>
          <cell r="R613" t="str">
            <v/>
          </cell>
          <cell r="S613" t="str">
            <v/>
          </cell>
          <cell r="T613" t="str">
            <v/>
          </cell>
          <cell r="U613" t="str">
            <v/>
          </cell>
        </row>
        <row r="615">
          <cell r="E615" t="str">
            <v>Composite Identification</v>
          </cell>
          <cell r="F615" t="str">
            <v xml:space="preserve"> Ply Description</v>
          </cell>
          <cell r="G615" t="str">
            <v>BV Sample Number</v>
          </cell>
          <cell r="H615" t="str">
            <v>Depth From</v>
          </cell>
          <cell r="I615" t="str">
            <v>Depth To</v>
          </cell>
          <cell r="J615" t="str">
            <v>Recovered Thickness</v>
          </cell>
          <cell r="K615" t="str">
            <v>Interval</v>
          </cell>
          <cell r="L615" t="str">
            <v>Sample Type</v>
          </cell>
          <cell r="M615" t="str">
            <v>Initial Mass Tested</v>
          </cell>
          <cell r="O615" t="str">
            <v>Final Mass</v>
          </cell>
          <cell r="P615" t="str">
            <v>Loss / Gain</v>
          </cell>
          <cell r="Q615" t="str">
            <v>Raw Coal Relative Density (calculated)</v>
          </cell>
          <cell r="R615" t="str">
            <v>Raw Coal Moisture (calculated)</v>
          </cell>
          <cell r="S615" t="str">
            <v>Raw Coal Ash (calculated)</v>
          </cell>
          <cell r="T615" t="str">
            <v>Moisture (analysed)</v>
          </cell>
          <cell r="U615" t="str">
            <v>Ash (analysed)</v>
          </cell>
        </row>
        <row r="616">
          <cell r="C616" t="str">
            <v>RC</v>
          </cell>
          <cell r="H616" t="str">
            <v>(m)</v>
          </cell>
          <cell r="I616" t="str">
            <v>(m)</v>
          </cell>
          <cell r="J616" t="str">
            <v>(m)</v>
          </cell>
          <cell r="K616" t="str">
            <v>(m)</v>
          </cell>
          <cell r="M616" t="str">
            <v>(kg)</v>
          </cell>
          <cell r="O616" t="str">
            <v>(kg)</v>
          </cell>
          <cell r="P616" t="str">
            <v>(%)</v>
          </cell>
          <cell r="Q616" t="str">
            <v>(%ad)</v>
          </cell>
          <cell r="R616" t="str">
            <v>(%ad)</v>
          </cell>
          <cell r="S616" t="str">
            <v>(%ad)</v>
          </cell>
          <cell r="T616" t="str">
            <v>(%ad)</v>
          </cell>
          <cell r="U616" t="str">
            <v>(%ad)</v>
          </cell>
        </row>
        <row r="617">
          <cell r="C617" t="str">
            <v>0RC36</v>
          </cell>
          <cell r="E617" t="str">
            <v/>
          </cell>
          <cell r="F617" t="str">
            <v/>
          </cell>
          <cell r="G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e">
            <v>#N/A</v>
          </cell>
          <cell r="O617">
            <v>1E-3</v>
          </cell>
          <cell r="P617" t="e">
            <v>#N/A</v>
          </cell>
          <cell r="Q617" t="str">
            <v/>
          </cell>
          <cell r="R617" t="str">
            <v/>
          </cell>
          <cell r="S617" t="str">
            <v/>
          </cell>
          <cell r="T617" t="str">
            <v/>
          </cell>
          <cell r="U617" t="str">
            <v/>
          </cell>
        </row>
        <row r="619">
          <cell r="E619" t="str">
            <v>Density Fraction</v>
          </cell>
          <cell r="G619" t="str">
            <v>Fractional Analyses</v>
          </cell>
          <cell r="N619" t="str">
            <v>Cumulative Analyses</v>
          </cell>
        </row>
        <row r="620">
          <cell r="G620" t="str">
            <v xml:space="preserve">Mass </v>
          </cell>
          <cell r="H620" t="str">
            <v>Moisture</v>
          </cell>
          <cell r="I620" t="str">
            <v xml:space="preserve">Ash </v>
          </cell>
          <cell r="J620" t="str">
            <v xml:space="preserve">Volatile Matter </v>
          </cell>
          <cell r="K620" t="str">
            <v>Total Sulfur</v>
          </cell>
          <cell r="L620" t="str">
            <v>Calorific Value</v>
          </cell>
          <cell r="M620" t="str">
            <v>Phosphorus In Coal</v>
          </cell>
          <cell r="N620" t="str">
            <v xml:space="preserve">Mass </v>
          </cell>
          <cell r="O620" t="str">
            <v>Moisture</v>
          </cell>
          <cell r="P620" t="str">
            <v>Ash</v>
          </cell>
          <cell r="Q620" t="str">
            <v>Volatile Matter</v>
          </cell>
          <cell r="R620" t="str">
            <v>Total Sulfur</v>
          </cell>
          <cell r="S620" t="str">
            <v>Calorific Value</v>
          </cell>
          <cell r="T620" t="str">
            <v>Phosphorus In Coal</v>
          </cell>
          <cell r="U620" t="str">
            <v>Crucible Swelling Number</v>
          </cell>
        </row>
        <row r="621">
          <cell r="E621" t="str">
            <v>Sinks</v>
          </cell>
          <cell r="F621" t="str">
            <v>Floats</v>
          </cell>
          <cell r="G621" t="str">
            <v>(%)</v>
          </cell>
          <cell r="H621" t="str">
            <v>(%ad)</v>
          </cell>
          <cell r="I621" t="str">
            <v>(%ad)</v>
          </cell>
          <cell r="J621" t="str">
            <v>(%ad)</v>
          </cell>
          <cell r="K621" t="str">
            <v>(%ad)</v>
          </cell>
          <cell r="L621" t="str">
            <v>(MJ/kg ad)</v>
          </cell>
          <cell r="M621" t="str">
            <v>(%db)</v>
          </cell>
          <cell r="N621" t="str">
            <v>(%)</v>
          </cell>
          <cell r="O621" t="str">
            <v>(%ad)</v>
          </cell>
          <cell r="P621" t="str">
            <v>(%ad)</v>
          </cell>
          <cell r="Q621" t="str">
            <v>(%ad)</v>
          </cell>
          <cell r="R621" t="str">
            <v>(%ad)</v>
          </cell>
          <cell r="S621" t="str">
            <v>(MJ/kg ad)</v>
          </cell>
          <cell r="T621" t="str">
            <v>(%db)</v>
          </cell>
        </row>
        <row r="622">
          <cell r="C622" t="str">
            <v>FS</v>
          </cell>
        </row>
        <row r="623">
          <cell r="C623" t="str">
            <v>0FS36F</v>
          </cell>
          <cell r="F623" t="str">
            <v/>
          </cell>
          <cell r="G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  <cell r="N623" t="str">
            <v/>
          </cell>
          <cell r="O623" t="str">
            <v/>
          </cell>
          <cell r="P623" t="str">
            <v/>
          </cell>
          <cell r="Q623" t="str">
            <v/>
          </cell>
          <cell r="R623" t="str">
            <v/>
          </cell>
          <cell r="S623" t="str">
            <v/>
          </cell>
          <cell r="T623" t="str">
            <v/>
          </cell>
          <cell r="U623" t="str">
            <v/>
          </cell>
        </row>
        <row r="624">
          <cell r="C624" t="str">
            <v>0FS36F</v>
          </cell>
          <cell r="E624" t="str">
            <v/>
          </cell>
          <cell r="F624" t="str">
            <v/>
          </cell>
          <cell r="G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  <cell r="N624" t="str">
            <v/>
          </cell>
          <cell r="O624" t="str">
            <v/>
          </cell>
          <cell r="P624" t="str">
            <v/>
          </cell>
          <cell r="Q624" t="str">
            <v/>
          </cell>
          <cell r="R624" t="str">
            <v/>
          </cell>
          <cell r="S624" t="str">
            <v/>
          </cell>
          <cell r="T624" t="str">
            <v/>
          </cell>
          <cell r="U624" t="str">
            <v/>
          </cell>
        </row>
        <row r="625">
          <cell r="C625" t="str">
            <v>0FS36F1</v>
          </cell>
          <cell r="E625" t="str">
            <v/>
          </cell>
          <cell r="F625" t="str">
            <v/>
          </cell>
          <cell r="G625">
            <v>100</v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  <cell r="N625">
            <v>100</v>
          </cell>
          <cell r="O625" t="str">
            <v/>
          </cell>
          <cell r="P625" t="str">
            <v/>
          </cell>
          <cell r="Q625" t="str">
            <v/>
          </cell>
          <cell r="R625" t="str">
            <v/>
          </cell>
          <cell r="S625" t="str">
            <v/>
          </cell>
          <cell r="T625" t="str">
            <v/>
          </cell>
          <cell r="U625" t="str">
            <v/>
          </cell>
        </row>
        <row r="626">
          <cell r="C626" t="str">
            <v>0FS36F2</v>
          </cell>
          <cell r="E626" t="str">
            <v/>
          </cell>
          <cell r="F626" t="str">
            <v/>
          </cell>
          <cell r="G626">
            <v>0</v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  <cell r="N626">
            <v>100</v>
          </cell>
          <cell r="O626" t="str">
            <v/>
          </cell>
          <cell r="P626" t="str">
            <v/>
          </cell>
          <cell r="Q626" t="str">
            <v/>
          </cell>
          <cell r="R626" t="str">
            <v/>
          </cell>
          <cell r="S626" t="str">
            <v/>
          </cell>
          <cell r="T626" t="str">
            <v/>
          </cell>
          <cell r="U626" t="str">
            <v/>
          </cell>
        </row>
        <row r="627">
          <cell r="C627" t="str">
            <v>0FS36F3</v>
          </cell>
          <cell r="E627" t="str">
            <v/>
          </cell>
          <cell r="F627" t="str">
            <v/>
          </cell>
          <cell r="G627">
            <v>0</v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  <cell r="N627">
            <v>100</v>
          </cell>
          <cell r="O627" t="str">
            <v/>
          </cell>
          <cell r="P627" t="str">
            <v/>
          </cell>
          <cell r="Q627" t="str">
            <v/>
          </cell>
          <cell r="R627" t="str">
            <v/>
          </cell>
          <cell r="S627" t="str">
            <v/>
          </cell>
          <cell r="T627" t="str">
            <v/>
          </cell>
          <cell r="U627" t="str">
            <v/>
          </cell>
        </row>
        <row r="628">
          <cell r="C628" t="str">
            <v>0FS36F4</v>
          </cell>
          <cell r="E628" t="str">
            <v/>
          </cell>
          <cell r="F628" t="str">
            <v/>
          </cell>
          <cell r="G628">
            <v>0</v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  <cell r="N628">
            <v>100</v>
          </cell>
          <cell r="O628" t="str">
            <v/>
          </cell>
          <cell r="P628" t="str">
            <v/>
          </cell>
          <cell r="Q628" t="str">
            <v/>
          </cell>
          <cell r="R628" t="str">
            <v/>
          </cell>
          <cell r="S628" t="str">
            <v/>
          </cell>
          <cell r="T628" t="str">
            <v/>
          </cell>
          <cell r="U628" t="str">
            <v/>
          </cell>
        </row>
        <row r="629">
          <cell r="C629" t="str">
            <v>0FS36F5</v>
          </cell>
          <cell r="E629" t="str">
            <v/>
          </cell>
          <cell r="F629" t="str">
            <v/>
          </cell>
          <cell r="G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  <cell r="N629" t="str">
            <v/>
          </cell>
          <cell r="O629" t="str">
            <v/>
          </cell>
          <cell r="P629" t="str">
            <v/>
          </cell>
          <cell r="Q629" t="str">
            <v/>
          </cell>
          <cell r="R629" t="str">
            <v/>
          </cell>
          <cell r="S629" t="str">
            <v/>
          </cell>
          <cell r="T629" t="str">
            <v/>
          </cell>
          <cell r="U629" t="str">
            <v/>
          </cell>
        </row>
        <row r="630">
          <cell r="C630" t="str">
            <v>0FS36F6</v>
          </cell>
          <cell r="E630" t="str">
            <v/>
          </cell>
          <cell r="F630" t="str">
            <v/>
          </cell>
          <cell r="G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  <cell r="N630" t="str">
            <v/>
          </cell>
          <cell r="O630" t="str">
            <v/>
          </cell>
          <cell r="P630" t="str">
            <v/>
          </cell>
          <cell r="Q630" t="str">
            <v/>
          </cell>
          <cell r="R630" t="str">
            <v/>
          </cell>
          <cell r="S630" t="str">
            <v/>
          </cell>
          <cell r="T630" t="str">
            <v/>
          </cell>
          <cell r="U630" t="str">
            <v/>
          </cell>
        </row>
      </sheetData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39" refreshError="1"/>
      <sheetData sheetId="40" refreshError="1">
        <row r="13">
          <cell r="C13" t="str">
            <v>0RC01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FS0</v>
          </cell>
        </row>
        <row r="19">
          <cell r="C19" t="str">
            <v>0FS01F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0FS01F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0FS01F1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0FS01F2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0FS01F3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0FS01F4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0FS01F5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0FS01F6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RC0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0RC02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FS0</v>
          </cell>
        </row>
        <row r="36">
          <cell r="C36" t="str">
            <v>0FS02F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0FS02F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0FS02F1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0FS02F2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0FS02F3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0FS02F4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0FS02F5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0FS02F6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RC0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0RC03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FS0</v>
          </cell>
        </row>
        <row r="54">
          <cell r="C54" t="str">
            <v>0FS03F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0FS03F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0FS03F1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0FS03F2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0FS03F3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0FS03F4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0FS03F5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0FS03F6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RC0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0RC04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FS0</v>
          </cell>
        </row>
        <row r="71">
          <cell r="C71" t="str">
            <v>0FS04F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0FS04F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0FS04F1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0FS04F2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0FS04F3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0FS04F4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0FS04F5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0FS04F6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RC0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0RC05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FS0</v>
          </cell>
        </row>
        <row r="88">
          <cell r="C88" t="str">
            <v>0FS05F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0FS05F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0FS05F1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0FS05F2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0FS05F3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0FS05F4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0FS05F5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0FS05F6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RC0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0RC06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FS0</v>
          </cell>
        </row>
        <row r="105">
          <cell r="C105" t="str">
            <v>0FS06F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0FS06F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0FS06F1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0FS06F2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0FS06F3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0FS06F4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0FS06F5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0FS06F6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RC0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0RC07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FS0</v>
          </cell>
        </row>
        <row r="123">
          <cell r="C123" t="str">
            <v>0FS07F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0FS07F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0FS07F1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0FS07F2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0FS07F3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0FS07F4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0FS07F5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0FS07F6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RC0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0RC08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FS0</v>
          </cell>
        </row>
        <row r="140">
          <cell r="C140" t="str">
            <v>0FS08F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0FS08F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0FS08F1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0FS08F2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0FS08F3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0FS08F4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0FS08F5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0FS08F6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RC0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0RC09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FS0</v>
          </cell>
        </row>
        <row r="157">
          <cell r="C157" t="str">
            <v>0FS09F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0FS09F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0FS09F1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0FS09F2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0FS09F3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0FS09F4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0FS09F5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0FS09F6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0RC10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0FS10F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0FS10F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0FS10F1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0FS10F2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0FS10F3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0FS10F4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0FS10F5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0FS10F6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0RC11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0FS11F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0FS11F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0FS11F1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0FS11F2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0FS11F3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0FS11F4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0FS11F5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0FS11F6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0RC12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0FS12F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0FS12F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0FS12F1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0FS12F2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0FS12F3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0FS12F4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0FS12F5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0FS12F6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1" refreshError="1">
        <row r="13">
          <cell r="C13" t="str">
            <v>0RC13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</v>
          </cell>
        </row>
        <row r="19">
          <cell r="C19" t="str">
            <v>0FS13F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0FS13F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0FS13F1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0FS13F2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0FS13F3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0FS13F4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0FS13F5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0FS13F6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0RC14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</v>
          </cell>
        </row>
        <row r="36">
          <cell r="C36" t="str">
            <v>0FS14F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0FS14F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0FS14F1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0FS14F2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0FS14F3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0FS14F4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0FS14F5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0FS14F6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0RC15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</v>
          </cell>
        </row>
        <row r="54">
          <cell r="C54" t="str">
            <v>0FS15F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0FS15F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0FS15F1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0FS15F2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0FS15F3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0FS15F4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0FS15F5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0FS15F6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0RC16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</v>
          </cell>
        </row>
        <row r="71">
          <cell r="C71" t="str">
            <v>0FS16F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0FS16F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0FS16F1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0FS16F2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0FS16F3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0FS16F4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0FS16F5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0FS16F6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0RC17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</v>
          </cell>
        </row>
        <row r="88">
          <cell r="C88" t="str">
            <v>0FS17F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0FS17F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0FS17F1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0FS17F2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0FS17F3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0FS17F4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0FS17F5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0FS17F6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0RC18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</v>
          </cell>
        </row>
        <row r="105">
          <cell r="C105" t="str">
            <v>0FS18F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0FS18F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0FS18F1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0FS18F2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0FS18F3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0FS18F4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0FS18F5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0FS18F6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0RC19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</v>
          </cell>
        </row>
        <row r="123">
          <cell r="C123" t="str">
            <v>0FS19F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0FS19F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0FS19F1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0FS19F2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0FS19F3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0FS19F4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0FS19F5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0FS19F6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0RC20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</v>
          </cell>
        </row>
        <row r="140">
          <cell r="C140" t="str">
            <v>0FS20F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0FS20F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0FS20F1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0FS20F2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0FS20F3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0FS20F4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0FS20F5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0FS20F6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0RC21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</v>
          </cell>
        </row>
        <row r="157">
          <cell r="C157" t="str">
            <v>0FS21F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0FS21F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0FS21F1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0FS21F2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0FS21F3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0FS21F4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0FS21F5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0FS21F6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0RC22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0FS22F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0FS22F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0FS22F1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0FS22F2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0FS22F3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0FS22F4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0FS22F5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0FS22F6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0RC23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0FS23F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0FS23F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0FS23F1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0FS23F2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0FS23F3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0FS23F4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0FS23F5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0FS23F6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0RC24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0FS24F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0FS24F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0FS24F1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0FS24F2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0FS24F3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0FS24F4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0FS24F5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0FS24F6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2" refreshError="1">
        <row r="12">
          <cell r="C12" t="str">
            <v>RC</v>
          </cell>
          <cell r="H12" t="str">
            <v>(m)</v>
          </cell>
          <cell r="I12" t="str">
            <v>(m)</v>
          </cell>
          <cell r="J12" t="str">
            <v>(m)</v>
          </cell>
          <cell r="K12" t="str">
            <v>(m)</v>
          </cell>
          <cell r="M12" t="str">
            <v>(kg)</v>
          </cell>
          <cell r="O12" t="str">
            <v>(kg)</v>
          </cell>
          <cell r="P12" t="str">
            <v>(%)</v>
          </cell>
          <cell r="Q12" t="str">
            <v>(%ad)</v>
          </cell>
          <cell r="R12" t="str">
            <v>(%ad)</v>
          </cell>
          <cell r="S12" t="str">
            <v>(%ad)</v>
          </cell>
          <cell r="T12" t="str">
            <v>(%ad)</v>
          </cell>
          <cell r="U12" t="str">
            <v>(%ad)</v>
          </cell>
        </row>
        <row r="13">
          <cell r="C13" t="str">
            <v>0RC25</v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e">
            <v>#N/A</v>
          </cell>
          <cell r="O13">
            <v>0</v>
          </cell>
          <cell r="P13" t="e">
            <v>#N/A</v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</row>
        <row r="15">
          <cell r="E15" t="str">
            <v>Density Fraction</v>
          </cell>
          <cell r="G15" t="str">
            <v>Fractional Analyses</v>
          </cell>
          <cell r="N15" t="str">
            <v>Cumulative Analyses</v>
          </cell>
        </row>
        <row r="16">
          <cell r="G16" t="str">
            <v xml:space="preserve">Mass </v>
          </cell>
          <cell r="H16" t="str">
            <v>Moisture</v>
          </cell>
          <cell r="I16" t="str">
            <v xml:space="preserve">Ash </v>
          </cell>
          <cell r="J16" t="str">
            <v xml:space="preserve">Volatile Matter </v>
          </cell>
          <cell r="K16" t="str">
            <v>Total Sulfur</v>
          </cell>
          <cell r="L16" t="str">
            <v>Calorific Value</v>
          </cell>
          <cell r="M16" t="str">
            <v>Phosphorus In Coal</v>
          </cell>
          <cell r="N16" t="str">
            <v xml:space="preserve">Mass </v>
          </cell>
          <cell r="O16" t="str">
            <v>Moisture</v>
          </cell>
          <cell r="P16" t="str">
            <v>Ash</v>
          </cell>
          <cell r="Q16" t="str">
            <v>Volatile Matter</v>
          </cell>
          <cell r="R16" t="str">
            <v>Total Sulfur</v>
          </cell>
          <cell r="S16" t="str">
            <v>Calorific Value</v>
          </cell>
          <cell r="T16" t="str">
            <v>Phosphorus In Coal</v>
          </cell>
          <cell r="U16" t="str">
            <v>Crucible Swelling Number</v>
          </cell>
        </row>
        <row r="17">
          <cell r="E17" t="str">
            <v>Sinks</v>
          </cell>
          <cell r="F17" t="str">
            <v>Floats</v>
          </cell>
          <cell r="G17" t="str">
            <v>(%)</v>
          </cell>
          <cell r="H17" t="str">
            <v>(%ad)</v>
          </cell>
          <cell r="I17" t="str">
            <v>(%ad)</v>
          </cell>
          <cell r="J17" t="str">
            <v>(%ad)</v>
          </cell>
          <cell r="K17" t="str">
            <v>(%ad)</v>
          </cell>
          <cell r="L17" t="str">
            <v>(MJ/kg ad)</v>
          </cell>
          <cell r="M17" t="str">
            <v>(%db)</v>
          </cell>
          <cell r="N17" t="str">
            <v>(%)</v>
          </cell>
          <cell r="O17" t="str">
            <v>(%ad)</v>
          </cell>
          <cell r="P17" t="str">
            <v>(%ad)</v>
          </cell>
          <cell r="Q17" t="str">
            <v>(%ad)</v>
          </cell>
          <cell r="R17" t="str">
            <v>(%ad)</v>
          </cell>
          <cell r="S17" t="str">
            <v>(MJ/kg ad)</v>
          </cell>
          <cell r="T17" t="str">
            <v>(%db)</v>
          </cell>
        </row>
        <row r="18">
          <cell r="C18" t="str">
            <v>FS</v>
          </cell>
        </row>
        <row r="19">
          <cell r="C19" t="str">
            <v>0FS25F</v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</row>
        <row r="20">
          <cell r="C20" t="str">
            <v>0FS25F</v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</row>
        <row r="21">
          <cell r="C21" t="str">
            <v>0FS25F1</v>
          </cell>
          <cell r="E21" t="str">
            <v/>
          </cell>
          <cell r="F21" t="str">
            <v/>
          </cell>
          <cell r="G21" t="e">
            <v>#DIV/0!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e">
            <v>#DIV/0!</v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</row>
        <row r="22">
          <cell r="C22" t="str">
            <v>0FS25F2</v>
          </cell>
          <cell r="E22" t="str">
            <v/>
          </cell>
          <cell r="F22" t="str">
            <v/>
          </cell>
          <cell r="G22" t="e">
            <v>#DIV/0!</v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e">
            <v>#DIV/0!</v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</row>
        <row r="23">
          <cell r="C23" t="str">
            <v>0FS25F3</v>
          </cell>
          <cell r="E23" t="str">
            <v/>
          </cell>
          <cell r="F23" t="str">
            <v/>
          </cell>
          <cell r="G23" t="e">
            <v>#DIV/0!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e">
            <v>#DIV/0!</v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</row>
        <row r="24">
          <cell r="C24" t="str">
            <v>0FS25F4</v>
          </cell>
          <cell r="E24" t="str">
            <v/>
          </cell>
          <cell r="F24" t="str">
            <v/>
          </cell>
          <cell r="G24" t="e">
            <v>#DIV/0!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e">
            <v>#DIV/0!</v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</row>
        <row r="25">
          <cell r="C25" t="str">
            <v>0FS25F5</v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</row>
        <row r="26">
          <cell r="C26" t="str">
            <v>0FS25F6</v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</row>
        <row r="28">
          <cell r="E28" t="str">
            <v>Composite Identification</v>
          </cell>
          <cell r="F28" t="str">
            <v xml:space="preserve"> Ply Description</v>
          </cell>
          <cell r="G28" t="str">
            <v>BV Sample Number</v>
          </cell>
          <cell r="H28" t="str">
            <v>Depth From</v>
          </cell>
          <cell r="I28" t="str">
            <v>Depth To</v>
          </cell>
          <cell r="J28" t="str">
            <v>Recovered Thickness</v>
          </cell>
          <cell r="K28" t="str">
            <v>Interval</v>
          </cell>
          <cell r="L28" t="str">
            <v>Sample Type</v>
          </cell>
          <cell r="M28" t="str">
            <v>Initial Mass Tested</v>
          </cell>
          <cell r="O28" t="str">
            <v>Final Mass</v>
          </cell>
          <cell r="P28" t="str">
            <v>Loss / Gain</v>
          </cell>
          <cell r="Q28" t="str">
            <v>Raw Coal Relative Density (calculated)</v>
          </cell>
          <cell r="R28" t="str">
            <v>Raw Coal Moisture (calculated)</v>
          </cell>
          <cell r="S28" t="str">
            <v>Raw Coal Ash (calculated)</v>
          </cell>
          <cell r="T28" t="str">
            <v>Moisture (analysed)</v>
          </cell>
          <cell r="U28" t="str">
            <v>Ash (analysed)</v>
          </cell>
        </row>
        <row r="29">
          <cell r="C29" t="str">
            <v>RC</v>
          </cell>
          <cell r="H29" t="str">
            <v>(m)</v>
          </cell>
          <cell r="I29" t="str">
            <v>(m)</v>
          </cell>
          <cell r="J29" t="str">
            <v>(m)</v>
          </cell>
          <cell r="K29" t="str">
            <v>(m)</v>
          </cell>
          <cell r="M29" t="str">
            <v>(kg)</v>
          </cell>
          <cell r="O29" t="str">
            <v>(kg)</v>
          </cell>
          <cell r="P29" t="str">
            <v>(%)</v>
          </cell>
          <cell r="Q29" t="str">
            <v>(%ad)</v>
          </cell>
          <cell r="R29" t="str">
            <v>(%ad)</v>
          </cell>
          <cell r="S29" t="str">
            <v>(%ad)</v>
          </cell>
          <cell r="T29" t="str">
            <v>(%ad)</v>
          </cell>
          <cell r="U29" t="str">
            <v>(%ad)</v>
          </cell>
        </row>
        <row r="30">
          <cell r="C30" t="str">
            <v>0RC26</v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e">
            <v>#N/A</v>
          </cell>
          <cell r="O30">
            <v>1E-3</v>
          </cell>
          <cell r="P30" t="e">
            <v>#N/A</v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</row>
        <row r="32">
          <cell r="E32" t="str">
            <v>Density Fraction</v>
          </cell>
          <cell r="G32" t="str">
            <v>Fractional Analyses</v>
          </cell>
          <cell r="N32" t="str">
            <v>Cumulative Analyses</v>
          </cell>
        </row>
        <row r="33">
          <cell r="G33" t="str">
            <v xml:space="preserve">Mass </v>
          </cell>
          <cell r="H33" t="str">
            <v>Moisture</v>
          </cell>
          <cell r="I33" t="str">
            <v xml:space="preserve">Ash </v>
          </cell>
          <cell r="J33" t="str">
            <v xml:space="preserve">Volatile Matter </v>
          </cell>
          <cell r="K33" t="str">
            <v>Total Sulfur</v>
          </cell>
          <cell r="L33" t="str">
            <v>Calorific Value</v>
          </cell>
          <cell r="M33" t="str">
            <v>Phosphorus In Coal</v>
          </cell>
          <cell r="N33" t="str">
            <v xml:space="preserve">Mass </v>
          </cell>
          <cell r="O33" t="str">
            <v>Moisture</v>
          </cell>
          <cell r="P33" t="str">
            <v>Ash</v>
          </cell>
          <cell r="Q33" t="str">
            <v>Volatile Matter</v>
          </cell>
          <cell r="R33" t="str">
            <v>Total Sulfur</v>
          </cell>
          <cell r="S33" t="str">
            <v>Calorific Value</v>
          </cell>
          <cell r="T33" t="str">
            <v>Phosphorus In Coal</v>
          </cell>
          <cell r="U33" t="str">
            <v>Crucible Swelling Number</v>
          </cell>
        </row>
        <row r="34">
          <cell r="E34" t="str">
            <v>Sinks</v>
          </cell>
          <cell r="F34" t="str">
            <v>Floats</v>
          </cell>
          <cell r="G34" t="str">
            <v>(%)</v>
          </cell>
          <cell r="H34" t="str">
            <v>(%ad)</v>
          </cell>
          <cell r="I34" t="str">
            <v>(%ad)</v>
          </cell>
          <cell r="J34" t="str">
            <v>(%ad)</v>
          </cell>
          <cell r="K34" t="str">
            <v>(%ad)</v>
          </cell>
          <cell r="L34" t="str">
            <v>(MJ/kg ad)</v>
          </cell>
          <cell r="M34" t="str">
            <v>(%db)</v>
          </cell>
          <cell r="N34" t="str">
            <v>(%)</v>
          </cell>
          <cell r="O34" t="str">
            <v>(%ad)</v>
          </cell>
          <cell r="P34" t="str">
            <v>(%ad)</v>
          </cell>
          <cell r="Q34" t="str">
            <v>(%ad)</v>
          </cell>
          <cell r="R34" t="str">
            <v>(%ad)</v>
          </cell>
          <cell r="S34" t="str">
            <v>(MJ/kg ad)</v>
          </cell>
          <cell r="T34" t="str">
            <v>(%db)</v>
          </cell>
        </row>
        <row r="35">
          <cell r="C35" t="str">
            <v>FS</v>
          </cell>
        </row>
        <row r="36">
          <cell r="C36" t="str">
            <v>0FS26F</v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</row>
        <row r="37">
          <cell r="C37" t="str">
            <v>0FS26F</v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</row>
        <row r="38">
          <cell r="C38" t="str">
            <v>0FS26F1</v>
          </cell>
          <cell r="E38" t="str">
            <v/>
          </cell>
          <cell r="F38" t="str">
            <v/>
          </cell>
          <cell r="G38">
            <v>100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>
            <v>100</v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</row>
        <row r="39">
          <cell r="C39" t="str">
            <v>0FS26F2</v>
          </cell>
          <cell r="E39" t="str">
            <v/>
          </cell>
          <cell r="F39" t="str">
            <v/>
          </cell>
          <cell r="G39">
            <v>0</v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>
            <v>100</v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</row>
        <row r="40">
          <cell r="C40" t="str">
            <v>0FS26F3</v>
          </cell>
          <cell r="E40" t="str">
            <v/>
          </cell>
          <cell r="F40" t="str">
            <v/>
          </cell>
          <cell r="G40">
            <v>0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>
            <v>100</v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</row>
        <row r="41">
          <cell r="C41" t="str">
            <v>0FS26F4</v>
          </cell>
          <cell r="E41" t="str">
            <v/>
          </cell>
          <cell r="F41" t="str">
            <v/>
          </cell>
          <cell r="G41">
            <v>0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>
            <v>100</v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</row>
        <row r="42">
          <cell r="C42" t="str">
            <v>0FS26F5</v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</row>
        <row r="43">
          <cell r="C43" t="str">
            <v>0FS26F6</v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</row>
        <row r="46">
          <cell r="C46" t="str">
            <v/>
          </cell>
          <cell r="E46" t="str">
            <v>Composite Identification</v>
          </cell>
          <cell r="F46" t="str">
            <v xml:space="preserve"> Ply Description</v>
          </cell>
          <cell r="G46" t="str">
            <v>BV Sample Number</v>
          </cell>
          <cell r="H46" t="str">
            <v>Depth From</v>
          </cell>
          <cell r="I46" t="str">
            <v>Depth To</v>
          </cell>
          <cell r="J46" t="str">
            <v>Recovered Thickness</v>
          </cell>
          <cell r="K46" t="str">
            <v>Interval</v>
          </cell>
          <cell r="L46" t="str">
            <v>Sample Type</v>
          </cell>
          <cell r="M46" t="str">
            <v>Initial Mass Tested</v>
          </cell>
          <cell r="O46" t="str">
            <v>Final Mass</v>
          </cell>
          <cell r="P46" t="str">
            <v>Loss / Gain</v>
          </cell>
          <cell r="Q46" t="str">
            <v>Raw Coal Relative Density (calculated)</v>
          </cell>
          <cell r="R46" t="str">
            <v>Raw Coal Moisture (calculated)</v>
          </cell>
          <cell r="S46" t="str">
            <v>Raw Coal Ash (calculated)</v>
          </cell>
          <cell r="T46" t="str">
            <v>Moisture (analysed)</v>
          </cell>
          <cell r="U46" t="str">
            <v>Ash (analysed)</v>
          </cell>
        </row>
        <row r="47">
          <cell r="C47" t="str">
            <v>RC</v>
          </cell>
          <cell r="H47" t="str">
            <v>(m)</v>
          </cell>
          <cell r="I47" t="str">
            <v>(m)</v>
          </cell>
          <cell r="J47" t="str">
            <v>(m)</v>
          </cell>
          <cell r="K47" t="str">
            <v>(m)</v>
          </cell>
          <cell r="M47" t="str">
            <v>(kg)</v>
          </cell>
          <cell r="O47" t="str">
            <v>(kg)</v>
          </cell>
          <cell r="P47" t="str">
            <v>(%)</v>
          </cell>
          <cell r="Q47" t="str">
            <v>(%ad)</v>
          </cell>
          <cell r="R47" t="str">
            <v>(%ad)</v>
          </cell>
          <cell r="S47" t="str">
            <v>(%ad)</v>
          </cell>
          <cell r="T47" t="str">
            <v>(%ad)</v>
          </cell>
          <cell r="U47" t="str">
            <v>(%ad)</v>
          </cell>
        </row>
        <row r="48">
          <cell r="C48" t="str">
            <v>0RC27</v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e">
            <v>#N/A</v>
          </cell>
          <cell r="O48">
            <v>1E-3</v>
          </cell>
          <cell r="P48" t="e">
            <v>#N/A</v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</row>
        <row r="50">
          <cell r="E50" t="str">
            <v>Density Fraction</v>
          </cell>
          <cell r="G50" t="str">
            <v>Fractional Analyses</v>
          </cell>
          <cell r="N50" t="str">
            <v>Cumulative Analyses</v>
          </cell>
        </row>
        <row r="51">
          <cell r="G51" t="str">
            <v xml:space="preserve">Mass </v>
          </cell>
          <cell r="H51" t="str">
            <v>Moisture</v>
          </cell>
          <cell r="I51" t="str">
            <v xml:space="preserve">Ash </v>
          </cell>
          <cell r="J51" t="str">
            <v xml:space="preserve">Volatile Matter </v>
          </cell>
          <cell r="K51" t="str">
            <v>Total Sulfur</v>
          </cell>
          <cell r="L51" t="str">
            <v>Calorific Value</v>
          </cell>
          <cell r="M51" t="str">
            <v>Phosphorus In Coal</v>
          </cell>
          <cell r="N51" t="str">
            <v xml:space="preserve">Mass </v>
          </cell>
          <cell r="O51" t="str">
            <v>Moisture</v>
          </cell>
          <cell r="P51" t="str">
            <v>Ash</v>
          </cell>
          <cell r="Q51" t="str">
            <v>Volatile Matter</v>
          </cell>
          <cell r="R51" t="str">
            <v>Total Sulfur</v>
          </cell>
          <cell r="S51" t="str">
            <v>Calorific Value</v>
          </cell>
          <cell r="T51" t="str">
            <v>Phosphorus In Coal</v>
          </cell>
          <cell r="U51" t="str">
            <v>Crucible Swelling Number</v>
          </cell>
        </row>
        <row r="52">
          <cell r="E52" t="str">
            <v>Sinks</v>
          </cell>
          <cell r="F52" t="str">
            <v>Floats</v>
          </cell>
          <cell r="G52" t="str">
            <v>(%)</v>
          </cell>
          <cell r="H52" t="str">
            <v>(%ad)</v>
          </cell>
          <cell r="I52" t="str">
            <v>(%ad)</v>
          </cell>
          <cell r="J52" t="str">
            <v>(%ad)</v>
          </cell>
          <cell r="K52" t="str">
            <v>(%ad)</v>
          </cell>
          <cell r="L52" t="str">
            <v>(MJ/kg ad)</v>
          </cell>
          <cell r="M52" t="str">
            <v>(%db)</v>
          </cell>
          <cell r="N52" t="str">
            <v>(%)</v>
          </cell>
          <cell r="O52" t="str">
            <v>(%ad)</v>
          </cell>
          <cell r="P52" t="str">
            <v>(%ad)</v>
          </cell>
          <cell r="Q52" t="str">
            <v>(%ad)</v>
          </cell>
          <cell r="R52" t="str">
            <v>(%ad)</v>
          </cell>
          <cell r="S52" t="str">
            <v>(MJ/kg ad)</v>
          </cell>
          <cell r="T52" t="str">
            <v>(%db)</v>
          </cell>
        </row>
        <row r="53">
          <cell r="C53" t="str">
            <v>FS</v>
          </cell>
        </row>
        <row r="54">
          <cell r="C54" t="str">
            <v>0FS27F</v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</row>
        <row r="55">
          <cell r="C55" t="str">
            <v>0FS27F</v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</row>
        <row r="56">
          <cell r="C56" t="str">
            <v>0FS27F1</v>
          </cell>
          <cell r="E56" t="str">
            <v/>
          </cell>
          <cell r="F56" t="str">
            <v/>
          </cell>
          <cell r="G56">
            <v>100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>
            <v>100</v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</row>
        <row r="57">
          <cell r="C57" t="str">
            <v>0FS27F2</v>
          </cell>
          <cell r="E57" t="str">
            <v/>
          </cell>
          <cell r="F57" t="str">
            <v/>
          </cell>
          <cell r="G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>
            <v>100</v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</row>
        <row r="58">
          <cell r="C58" t="str">
            <v>0FS27F3</v>
          </cell>
          <cell r="E58" t="str">
            <v/>
          </cell>
          <cell r="F58" t="str">
            <v/>
          </cell>
          <cell r="G58">
            <v>0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>
            <v>100</v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</row>
        <row r="59">
          <cell r="C59" t="str">
            <v>0FS27F4</v>
          </cell>
          <cell r="E59" t="str">
            <v/>
          </cell>
          <cell r="F59" t="str">
            <v/>
          </cell>
          <cell r="G59">
            <v>0</v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>
            <v>100</v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</row>
        <row r="60">
          <cell r="C60" t="str">
            <v>0FS27F5</v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</row>
        <row r="61">
          <cell r="C61" t="str">
            <v>0FS27F6</v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</row>
        <row r="63">
          <cell r="E63" t="str">
            <v>Composite Identification</v>
          </cell>
          <cell r="F63" t="str">
            <v xml:space="preserve"> Ply Description</v>
          </cell>
          <cell r="G63" t="str">
            <v>BV Sample Number</v>
          </cell>
          <cell r="H63" t="str">
            <v>Depth From</v>
          </cell>
          <cell r="I63" t="str">
            <v>Depth To</v>
          </cell>
          <cell r="J63" t="str">
            <v>Recovered Thickness</v>
          </cell>
          <cell r="K63" t="str">
            <v>Interval</v>
          </cell>
          <cell r="L63" t="str">
            <v>Sample Type</v>
          </cell>
          <cell r="M63" t="str">
            <v>Initial Mass Tested</v>
          </cell>
          <cell r="O63" t="str">
            <v>Final Mass</v>
          </cell>
          <cell r="P63" t="str">
            <v>Loss / Gain</v>
          </cell>
          <cell r="Q63" t="str">
            <v>Raw Coal Relative Density (calculated)</v>
          </cell>
          <cell r="R63" t="str">
            <v>Raw Coal Moisture (calculated)</v>
          </cell>
          <cell r="S63" t="str">
            <v>Raw Coal Ash (calculated)</v>
          </cell>
          <cell r="T63" t="str">
            <v>Moisture (analysed)</v>
          </cell>
          <cell r="U63" t="str">
            <v>Ash (analysed)</v>
          </cell>
        </row>
        <row r="64">
          <cell r="C64" t="str">
            <v>RC</v>
          </cell>
          <cell r="H64" t="str">
            <v>(m)</v>
          </cell>
          <cell r="I64" t="str">
            <v>(m)</v>
          </cell>
          <cell r="J64" t="str">
            <v>(m)</v>
          </cell>
          <cell r="K64" t="str">
            <v>(m)</v>
          </cell>
          <cell r="M64" t="str">
            <v>(kg)</v>
          </cell>
          <cell r="O64" t="str">
            <v>(kg)</v>
          </cell>
          <cell r="P64" t="str">
            <v>(%)</v>
          </cell>
          <cell r="Q64" t="str">
            <v>(%ad)</v>
          </cell>
          <cell r="R64" t="str">
            <v>(%ad)</v>
          </cell>
          <cell r="S64" t="str">
            <v>(%ad)</v>
          </cell>
          <cell r="T64" t="str">
            <v>(%ad)</v>
          </cell>
          <cell r="U64" t="str">
            <v>(%ad)</v>
          </cell>
        </row>
        <row r="65">
          <cell r="C65" t="str">
            <v>0RC28</v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e">
            <v>#N/A</v>
          </cell>
          <cell r="O65">
            <v>1E-3</v>
          </cell>
          <cell r="P65" t="e">
            <v>#N/A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</row>
        <row r="67">
          <cell r="E67" t="str">
            <v>Density Fraction</v>
          </cell>
          <cell r="G67" t="str">
            <v>Fractional Analyses</v>
          </cell>
          <cell r="N67" t="str">
            <v>Cumulative Analyses</v>
          </cell>
        </row>
        <row r="68">
          <cell r="G68" t="str">
            <v xml:space="preserve">Mass </v>
          </cell>
          <cell r="H68" t="str">
            <v>Moisture</v>
          </cell>
          <cell r="I68" t="str">
            <v xml:space="preserve">Ash </v>
          </cell>
          <cell r="J68" t="str">
            <v xml:space="preserve">Volatile Matter </v>
          </cell>
          <cell r="K68" t="str">
            <v>Total Sulfur</v>
          </cell>
          <cell r="L68" t="str">
            <v>Calorific Value</v>
          </cell>
          <cell r="M68" t="str">
            <v>Phosphorus In Coal</v>
          </cell>
          <cell r="N68" t="str">
            <v xml:space="preserve">Mass </v>
          </cell>
          <cell r="O68" t="str">
            <v>Moisture</v>
          </cell>
          <cell r="P68" t="str">
            <v>Ash</v>
          </cell>
          <cell r="Q68" t="str">
            <v>Volatile Matter</v>
          </cell>
          <cell r="R68" t="str">
            <v>Total Sulfur</v>
          </cell>
          <cell r="S68" t="str">
            <v>Calorific Value</v>
          </cell>
          <cell r="T68" t="str">
            <v>Phosphorus In Coal</v>
          </cell>
          <cell r="U68" t="str">
            <v>Crucible Swelling Number</v>
          </cell>
        </row>
        <row r="69">
          <cell r="E69" t="str">
            <v>Sinks</v>
          </cell>
          <cell r="F69" t="str">
            <v>Floats</v>
          </cell>
          <cell r="G69" t="str">
            <v>(%)</v>
          </cell>
          <cell r="H69" t="str">
            <v>(%ad)</v>
          </cell>
          <cell r="I69" t="str">
            <v>(%ad)</v>
          </cell>
          <cell r="J69" t="str">
            <v>(%ad)</v>
          </cell>
          <cell r="K69" t="str">
            <v>(%ad)</v>
          </cell>
          <cell r="L69" t="str">
            <v>(MJ/kg ad)</v>
          </cell>
          <cell r="M69" t="str">
            <v>(%db)</v>
          </cell>
          <cell r="N69" t="str">
            <v>(%)</v>
          </cell>
          <cell r="O69" t="str">
            <v>(%ad)</v>
          </cell>
          <cell r="P69" t="str">
            <v>(%ad)</v>
          </cell>
          <cell r="Q69" t="str">
            <v>(%ad)</v>
          </cell>
          <cell r="R69" t="str">
            <v>(%ad)</v>
          </cell>
          <cell r="S69" t="str">
            <v>(MJ/kg ad)</v>
          </cell>
          <cell r="T69" t="str">
            <v>(%db)</v>
          </cell>
        </row>
        <row r="70">
          <cell r="C70" t="str">
            <v>FS</v>
          </cell>
        </row>
        <row r="71">
          <cell r="C71" t="str">
            <v>0FS28F</v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</row>
        <row r="72">
          <cell r="C72" t="str">
            <v>0FS28F</v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</row>
        <row r="73">
          <cell r="C73" t="str">
            <v>0FS28F1</v>
          </cell>
          <cell r="E73" t="str">
            <v/>
          </cell>
          <cell r="F73" t="str">
            <v/>
          </cell>
          <cell r="G73">
            <v>100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>
            <v>100</v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</row>
        <row r="74">
          <cell r="C74" t="str">
            <v>0FS28F2</v>
          </cell>
          <cell r="E74" t="str">
            <v/>
          </cell>
          <cell r="F74" t="str">
            <v/>
          </cell>
          <cell r="G74">
            <v>0</v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>
            <v>100</v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</row>
        <row r="75">
          <cell r="C75" t="str">
            <v>0FS28F3</v>
          </cell>
          <cell r="E75" t="str">
            <v/>
          </cell>
          <cell r="F75" t="str">
            <v/>
          </cell>
          <cell r="G75">
            <v>0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>
            <v>100</v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</row>
        <row r="76">
          <cell r="C76" t="str">
            <v>0FS28F4</v>
          </cell>
          <cell r="E76" t="str">
            <v/>
          </cell>
          <cell r="F76" t="str">
            <v/>
          </cell>
          <cell r="G76">
            <v>0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>
            <v>100</v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</row>
        <row r="77">
          <cell r="C77" t="str">
            <v>0FS28F5</v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</row>
        <row r="78">
          <cell r="C78" t="str">
            <v>0FS28F6</v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</row>
        <row r="80">
          <cell r="C80" t="str">
            <v/>
          </cell>
          <cell r="E80" t="str">
            <v>Composite Identification</v>
          </cell>
          <cell r="F80" t="str">
            <v xml:space="preserve"> Ply Description</v>
          </cell>
          <cell r="G80" t="str">
            <v>BV Sample Number</v>
          </cell>
          <cell r="H80" t="str">
            <v>Depth From</v>
          </cell>
          <cell r="I80" t="str">
            <v>Depth To</v>
          </cell>
          <cell r="J80" t="str">
            <v>Recovered Thickness</v>
          </cell>
          <cell r="K80" t="str">
            <v>Interval</v>
          </cell>
          <cell r="L80" t="str">
            <v>Sample Type</v>
          </cell>
          <cell r="M80" t="str">
            <v>Initial Mass Tested</v>
          </cell>
          <cell r="O80" t="str">
            <v>Final Mass</v>
          </cell>
          <cell r="P80" t="str">
            <v>Loss / Gain</v>
          </cell>
          <cell r="Q80" t="str">
            <v>Raw Coal Relative Density (calculated)</v>
          </cell>
          <cell r="R80" t="str">
            <v>Raw Coal Moisture (calculated)</v>
          </cell>
          <cell r="S80" t="str">
            <v>Raw Coal Ash (calculated)</v>
          </cell>
          <cell r="T80" t="str">
            <v>Moisture (analysed)</v>
          </cell>
          <cell r="U80" t="str">
            <v>Ash (analysed)</v>
          </cell>
        </row>
        <row r="81">
          <cell r="C81" t="str">
            <v>RC</v>
          </cell>
          <cell r="H81" t="str">
            <v>(m)</v>
          </cell>
          <cell r="I81" t="str">
            <v>(m)</v>
          </cell>
          <cell r="J81" t="str">
            <v>(m)</v>
          </cell>
          <cell r="K81" t="str">
            <v>(m)</v>
          </cell>
          <cell r="M81" t="str">
            <v>(kg)</v>
          </cell>
          <cell r="O81" t="str">
            <v>(kg)</v>
          </cell>
          <cell r="P81" t="str">
            <v>(%)</v>
          </cell>
          <cell r="Q81" t="str">
            <v>(%ad)</v>
          </cell>
          <cell r="R81" t="str">
            <v>(%ad)</v>
          </cell>
          <cell r="S81" t="str">
            <v>(%ad)</v>
          </cell>
          <cell r="T81" t="str">
            <v>(%ad)</v>
          </cell>
          <cell r="U81" t="str">
            <v>(%ad)</v>
          </cell>
        </row>
        <row r="82">
          <cell r="C82" t="str">
            <v>0RC29</v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e">
            <v>#N/A</v>
          </cell>
          <cell r="O82">
            <v>1E-3</v>
          </cell>
          <cell r="P82" t="e">
            <v>#N/A</v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</row>
        <row r="84">
          <cell r="E84" t="str">
            <v>Density Fraction</v>
          </cell>
          <cell r="G84" t="str">
            <v>Fractional Analyses</v>
          </cell>
          <cell r="N84" t="str">
            <v>Cumulative Analyses</v>
          </cell>
        </row>
        <row r="85">
          <cell r="G85" t="str">
            <v xml:space="preserve">Mass </v>
          </cell>
          <cell r="H85" t="str">
            <v>Moisture</v>
          </cell>
          <cell r="I85" t="str">
            <v xml:space="preserve">Ash </v>
          </cell>
          <cell r="J85" t="str">
            <v xml:space="preserve">Volatile Matter </v>
          </cell>
          <cell r="K85" t="str">
            <v>Total Sulfur</v>
          </cell>
          <cell r="L85" t="str">
            <v>Calorific Value</v>
          </cell>
          <cell r="M85" t="str">
            <v>Phosphorus In Coal</v>
          </cell>
          <cell r="N85" t="str">
            <v xml:space="preserve">Mass </v>
          </cell>
          <cell r="O85" t="str">
            <v>Moisture</v>
          </cell>
          <cell r="P85" t="str">
            <v>Ash</v>
          </cell>
          <cell r="Q85" t="str">
            <v>Volatile Matter</v>
          </cell>
          <cell r="R85" t="str">
            <v>Total Sulfur</v>
          </cell>
          <cell r="S85" t="str">
            <v>Calorific Value</v>
          </cell>
          <cell r="T85" t="str">
            <v>Phosphorus In Coal</v>
          </cell>
          <cell r="U85" t="str">
            <v>Crucible Swelling Number</v>
          </cell>
        </row>
        <row r="86">
          <cell r="E86" t="str">
            <v>Sinks</v>
          </cell>
          <cell r="F86" t="str">
            <v>Floats</v>
          </cell>
          <cell r="G86" t="str">
            <v>(%)</v>
          </cell>
          <cell r="H86" t="str">
            <v>(%ad)</v>
          </cell>
          <cell r="I86" t="str">
            <v>(%ad)</v>
          </cell>
          <cell r="J86" t="str">
            <v>(%ad)</v>
          </cell>
          <cell r="K86" t="str">
            <v>(%ad)</v>
          </cell>
          <cell r="L86" t="str">
            <v>(MJ/kg ad)</v>
          </cell>
          <cell r="M86" t="str">
            <v>(%db)</v>
          </cell>
          <cell r="N86" t="str">
            <v>(%)</v>
          </cell>
          <cell r="O86" t="str">
            <v>(%ad)</v>
          </cell>
          <cell r="P86" t="str">
            <v>(%ad)</v>
          </cell>
          <cell r="Q86" t="str">
            <v>(%ad)</v>
          </cell>
          <cell r="R86" t="str">
            <v>(%ad)</v>
          </cell>
          <cell r="S86" t="str">
            <v>(MJ/kg ad)</v>
          </cell>
          <cell r="T86" t="str">
            <v>(%db)</v>
          </cell>
        </row>
        <row r="87">
          <cell r="C87" t="str">
            <v>FS</v>
          </cell>
        </row>
        <row r="88">
          <cell r="C88" t="str">
            <v>0FS29F</v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</row>
        <row r="89">
          <cell r="C89" t="str">
            <v>0FS29F</v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</row>
        <row r="90">
          <cell r="C90" t="str">
            <v>0FS29F1</v>
          </cell>
          <cell r="E90" t="str">
            <v/>
          </cell>
          <cell r="F90" t="str">
            <v/>
          </cell>
          <cell r="G90">
            <v>100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>
            <v>100</v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</row>
        <row r="91">
          <cell r="C91" t="str">
            <v>0FS29F2</v>
          </cell>
          <cell r="E91" t="str">
            <v/>
          </cell>
          <cell r="F91" t="str">
            <v/>
          </cell>
          <cell r="G91">
            <v>0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>
            <v>100</v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</row>
        <row r="92">
          <cell r="C92" t="str">
            <v>0FS29F3</v>
          </cell>
          <cell r="E92" t="str">
            <v/>
          </cell>
          <cell r="F92" t="str">
            <v/>
          </cell>
          <cell r="G92">
            <v>0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>
            <v>100</v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</row>
        <row r="93">
          <cell r="C93" t="str">
            <v>0FS29F4</v>
          </cell>
          <cell r="E93" t="str">
            <v/>
          </cell>
          <cell r="F93" t="str">
            <v/>
          </cell>
          <cell r="G93">
            <v>0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>
            <v>100</v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</row>
        <row r="94">
          <cell r="C94" t="str">
            <v>0FS29F5</v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</row>
        <row r="95">
          <cell r="C95" t="str">
            <v>0FS29F6</v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</row>
        <row r="97">
          <cell r="E97" t="str">
            <v>Composite Identification</v>
          </cell>
          <cell r="F97" t="str">
            <v xml:space="preserve"> Ply Description</v>
          </cell>
          <cell r="G97" t="str">
            <v>BV Sample Number</v>
          </cell>
          <cell r="H97" t="str">
            <v>Depth From</v>
          </cell>
          <cell r="I97" t="str">
            <v>Depth To</v>
          </cell>
          <cell r="J97" t="str">
            <v>Recovered Thickness</v>
          </cell>
          <cell r="K97" t="str">
            <v>Interval</v>
          </cell>
          <cell r="L97" t="str">
            <v>Sample Type</v>
          </cell>
          <cell r="M97" t="str">
            <v>Initial Mass Tested</v>
          </cell>
          <cell r="O97" t="str">
            <v>Final Mass</v>
          </cell>
          <cell r="P97" t="str">
            <v>Loss / Gain</v>
          </cell>
          <cell r="Q97" t="str">
            <v>Raw Coal Relative Density (calculated)</v>
          </cell>
          <cell r="R97" t="str">
            <v>Raw Coal Moisture (calculated)</v>
          </cell>
          <cell r="S97" t="str">
            <v>Raw Coal Ash (calculated)</v>
          </cell>
          <cell r="T97" t="str">
            <v>Moisture (analysed)</v>
          </cell>
          <cell r="U97" t="str">
            <v>Ash (analysed)</v>
          </cell>
        </row>
        <row r="98">
          <cell r="C98" t="str">
            <v>RC</v>
          </cell>
          <cell r="H98" t="str">
            <v>(m)</v>
          </cell>
          <cell r="I98" t="str">
            <v>(m)</v>
          </cell>
          <cell r="J98" t="str">
            <v>(m)</v>
          </cell>
          <cell r="K98" t="str">
            <v>(m)</v>
          </cell>
          <cell r="M98" t="str">
            <v>(kg)</v>
          </cell>
          <cell r="O98" t="str">
            <v>(kg)</v>
          </cell>
          <cell r="P98" t="str">
            <v>(%)</v>
          </cell>
          <cell r="Q98" t="str">
            <v>(%ad)</v>
          </cell>
          <cell r="R98" t="str">
            <v>(%ad)</v>
          </cell>
          <cell r="S98" t="str">
            <v>(%ad)</v>
          </cell>
          <cell r="T98" t="str">
            <v>(%ad)</v>
          </cell>
          <cell r="U98" t="str">
            <v>(%ad)</v>
          </cell>
        </row>
        <row r="99">
          <cell r="C99" t="str">
            <v>0RC30</v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e">
            <v>#N/A</v>
          </cell>
          <cell r="O99">
            <v>1E-3</v>
          </cell>
          <cell r="P99" t="e">
            <v>#N/A</v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</row>
        <row r="101">
          <cell r="E101" t="str">
            <v>Density Fraction</v>
          </cell>
          <cell r="G101" t="str">
            <v>Fractional Analyses</v>
          </cell>
          <cell r="N101" t="str">
            <v>Cumulative Analyses</v>
          </cell>
        </row>
        <row r="102">
          <cell r="G102" t="str">
            <v xml:space="preserve">Mass </v>
          </cell>
          <cell r="H102" t="str">
            <v>Moisture</v>
          </cell>
          <cell r="I102" t="str">
            <v xml:space="preserve">Ash </v>
          </cell>
          <cell r="J102" t="str">
            <v xml:space="preserve">Volatile Matter </v>
          </cell>
          <cell r="K102" t="str">
            <v>Total Sulfur</v>
          </cell>
          <cell r="L102" t="str">
            <v>Calorific Value</v>
          </cell>
          <cell r="M102" t="str">
            <v>Phosphorus In Coal</v>
          </cell>
          <cell r="N102" t="str">
            <v xml:space="preserve">Mass </v>
          </cell>
          <cell r="O102" t="str">
            <v>Moisture</v>
          </cell>
          <cell r="P102" t="str">
            <v>Ash</v>
          </cell>
          <cell r="Q102" t="str">
            <v>Volatile Matter</v>
          </cell>
          <cell r="R102" t="str">
            <v>Total Sulfur</v>
          </cell>
          <cell r="S102" t="str">
            <v>Calorific Value</v>
          </cell>
          <cell r="T102" t="str">
            <v>Phosphorus In Coal</v>
          </cell>
          <cell r="U102" t="str">
            <v>Crucible Swelling Number</v>
          </cell>
        </row>
        <row r="103">
          <cell r="E103" t="str">
            <v>Sinks</v>
          </cell>
          <cell r="F103" t="str">
            <v>Floats</v>
          </cell>
          <cell r="G103" t="str">
            <v>(%)</v>
          </cell>
          <cell r="H103" t="str">
            <v>(%ad)</v>
          </cell>
          <cell r="I103" t="str">
            <v>(%ad)</v>
          </cell>
          <cell r="J103" t="str">
            <v>(%ad)</v>
          </cell>
          <cell r="K103" t="str">
            <v>(%ad)</v>
          </cell>
          <cell r="L103" t="str">
            <v>(MJ/kg ad)</v>
          </cell>
          <cell r="M103" t="str">
            <v>(%db)</v>
          </cell>
          <cell r="N103" t="str">
            <v>(%)</v>
          </cell>
          <cell r="O103" t="str">
            <v>(%ad)</v>
          </cell>
          <cell r="P103" t="str">
            <v>(%ad)</v>
          </cell>
          <cell r="Q103" t="str">
            <v>(%ad)</v>
          </cell>
          <cell r="R103" t="str">
            <v>(%ad)</v>
          </cell>
          <cell r="S103" t="str">
            <v>(MJ/kg ad)</v>
          </cell>
          <cell r="T103" t="str">
            <v>(%db)</v>
          </cell>
        </row>
        <row r="104">
          <cell r="C104" t="str">
            <v>FS</v>
          </cell>
        </row>
        <row r="105">
          <cell r="C105" t="str">
            <v>0FS30F</v>
          </cell>
          <cell r="F105" t="str">
            <v/>
          </cell>
          <cell r="G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  <cell r="N105" t="str">
            <v/>
          </cell>
          <cell r="O105" t="str">
            <v/>
          </cell>
          <cell r="P105" t="str">
            <v/>
          </cell>
          <cell r="Q105" t="str">
            <v/>
          </cell>
          <cell r="R105" t="str">
            <v/>
          </cell>
          <cell r="S105" t="str">
            <v/>
          </cell>
          <cell r="T105" t="str">
            <v/>
          </cell>
          <cell r="U105" t="str">
            <v/>
          </cell>
        </row>
        <row r="106">
          <cell r="C106" t="str">
            <v>0FS30F</v>
          </cell>
          <cell r="E106" t="str">
            <v/>
          </cell>
          <cell r="F106" t="str">
            <v/>
          </cell>
          <cell r="G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  <cell r="N106" t="str">
            <v/>
          </cell>
          <cell r="O106" t="str">
            <v/>
          </cell>
          <cell r="P106" t="str">
            <v/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</row>
        <row r="107">
          <cell r="C107" t="str">
            <v>0FS30F1</v>
          </cell>
          <cell r="E107" t="str">
            <v/>
          </cell>
          <cell r="F107" t="str">
            <v/>
          </cell>
          <cell r="G107">
            <v>100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  <cell r="N107">
            <v>100</v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</row>
        <row r="108">
          <cell r="C108" t="str">
            <v>0FS30F2</v>
          </cell>
          <cell r="E108" t="str">
            <v/>
          </cell>
          <cell r="F108" t="str">
            <v/>
          </cell>
          <cell r="G108">
            <v>0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  <cell r="N108">
            <v>100</v>
          </cell>
          <cell r="O108" t="str">
            <v/>
          </cell>
          <cell r="P108" t="str">
            <v/>
          </cell>
          <cell r="Q108" t="str">
            <v/>
          </cell>
          <cell r="R108" t="str">
            <v/>
          </cell>
          <cell r="S108" t="str">
            <v/>
          </cell>
          <cell r="T108" t="str">
            <v/>
          </cell>
          <cell r="U108" t="str">
            <v/>
          </cell>
        </row>
        <row r="109">
          <cell r="C109" t="str">
            <v>0FS30F3</v>
          </cell>
          <cell r="E109" t="str">
            <v/>
          </cell>
          <cell r="F109" t="str">
            <v/>
          </cell>
          <cell r="G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  <cell r="N109">
            <v>100</v>
          </cell>
          <cell r="O109" t="str">
            <v/>
          </cell>
          <cell r="P109" t="str">
            <v/>
          </cell>
          <cell r="Q109" t="str">
            <v/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</row>
        <row r="110">
          <cell r="C110" t="str">
            <v>0FS30F4</v>
          </cell>
          <cell r="E110" t="str">
            <v/>
          </cell>
          <cell r="F110" t="str">
            <v/>
          </cell>
          <cell r="G110">
            <v>0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  <cell r="N110">
            <v>100</v>
          </cell>
          <cell r="O110" t="str">
            <v/>
          </cell>
          <cell r="P110" t="str">
            <v/>
          </cell>
          <cell r="Q110" t="str">
            <v/>
          </cell>
          <cell r="R110" t="str">
            <v/>
          </cell>
          <cell r="S110" t="str">
            <v/>
          </cell>
          <cell r="T110" t="str">
            <v/>
          </cell>
          <cell r="U110" t="str">
            <v/>
          </cell>
        </row>
        <row r="111">
          <cell r="C111" t="str">
            <v>0FS30F5</v>
          </cell>
          <cell r="E111" t="str">
            <v/>
          </cell>
          <cell r="F111" t="str">
            <v/>
          </cell>
          <cell r="G111" t="str">
            <v/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  <cell r="N111" t="str">
            <v/>
          </cell>
          <cell r="O111" t="str">
            <v/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</row>
        <row r="112">
          <cell r="C112" t="str">
            <v>0FS30F6</v>
          </cell>
          <cell r="E112" t="str">
            <v/>
          </cell>
          <cell r="F112" t="str">
            <v/>
          </cell>
          <cell r="G112" t="str">
            <v/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/>
          </cell>
        </row>
        <row r="115">
          <cell r="C115" t="str">
            <v/>
          </cell>
          <cell r="E115" t="str">
            <v>Composite Identification</v>
          </cell>
          <cell r="F115" t="str">
            <v xml:space="preserve"> Ply Description</v>
          </cell>
          <cell r="G115" t="str">
            <v>BV Sample Number</v>
          </cell>
          <cell r="H115" t="str">
            <v>Depth From</v>
          </cell>
          <cell r="I115" t="str">
            <v>Depth To</v>
          </cell>
          <cell r="J115" t="str">
            <v>Recovered Thickness</v>
          </cell>
          <cell r="K115" t="str">
            <v>Interval</v>
          </cell>
          <cell r="L115" t="str">
            <v>Sample Type</v>
          </cell>
          <cell r="M115" t="str">
            <v>Initial Mass Tested</v>
          </cell>
          <cell r="O115" t="str">
            <v>Final Mass</v>
          </cell>
          <cell r="P115" t="str">
            <v>Loss / Gain</v>
          </cell>
          <cell r="Q115" t="str">
            <v>Raw Coal Relative Density (calculated)</v>
          </cell>
          <cell r="R115" t="str">
            <v>Raw Coal Moisture (calculated)</v>
          </cell>
          <cell r="S115" t="str">
            <v>Raw Coal Ash (calculated)</v>
          </cell>
          <cell r="T115" t="str">
            <v>Moisture (analysed)</v>
          </cell>
          <cell r="U115" t="str">
            <v>Ash (analysed)</v>
          </cell>
        </row>
        <row r="116">
          <cell r="C116" t="str">
            <v>RC</v>
          </cell>
          <cell r="H116" t="str">
            <v>(m)</v>
          </cell>
          <cell r="I116" t="str">
            <v>(m)</v>
          </cell>
          <cell r="J116" t="str">
            <v>(m)</v>
          </cell>
          <cell r="K116" t="str">
            <v>(m)</v>
          </cell>
          <cell r="M116" t="str">
            <v>(kg)</v>
          </cell>
          <cell r="O116" t="str">
            <v>(kg)</v>
          </cell>
          <cell r="P116" t="str">
            <v>(%)</v>
          </cell>
          <cell r="Q116" t="str">
            <v>(%ad)</v>
          </cell>
          <cell r="R116" t="str">
            <v>(%ad)</v>
          </cell>
          <cell r="S116" t="str">
            <v>(%ad)</v>
          </cell>
          <cell r="T116" t="str">
            <v>(%ad)</v>
          </cell>
          <cell r="U116" t="str">
            <v>(%ad)</v>
          </cell>
        </row>
        <row r="117">
          <cell r="C117" t="str">
            <v>0RC31</v>
          </cell>
          <cell r="E117" t="str">
            <v/>
          </cell>
          <cell r="F117" t="str">
            <v/>
          </cell>
          <cell r="G117" t="str">
            <v/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e">
            <v>#N/A</v>
          </cell>
          <cell r="O117">
            <v>1E-3</v>
          </cell>
          <cell r="P117" t="e">
            <v>#N/A</v>
          </cell>
          <cell r="Q117" t="str">
            <v/>
          </cell>
          <cell r="R117" t="str">
            <v/>
          </cell>
          <cell r="S117" t="str">
            <v/>
          </cell>
          <cell r="T117" t="str">
            <v/>
          </cell>
          <cell r="U117" t="str">
            <v/>
          </cell>
        </row>
        <row r="119">
          <cell r="E119" t="str">
            <v>Density Fraction</v>
          </cell>
          <cell r="G119" t="str">
            <v>Fractional Analyses</v>
          </cell>
          <cell r="N119" t="str">
            <v>Cumulative Analyses</v>
          </cell>
        </row>
        <row r="120">
          <cell r="G120" t="str">
            <v xml:space="preserve">Mass </v>
          </cell>
          <cell r="H120" t="str">
            <v>Moisture</v>
          </cell>
          <cell r="I120" t="str">
            <v xml:space="preserve">Ash </v>
          </cell>
          <cell r="J120" t="str">
            <v xml:space="preserve">Volatile Matter </v>
          </cell>
          <cell r="K120" t="str">
            <v>Total Sulfur</v>
          </cell>
          <cell r="L120" t="str">
            <v>Calorific Value</v>
          </cell>
          <cell r="M120" t="str">
            <v>Phosphorus In Coal</v>
          </cell>
          <cell r="N120" t="str">
            <v xml:space="preserve">Mass </v>
          </cell>
          <cell r="O120" t="str">
            <v>Moisture</v>
          </cell>
          <cell r="P120" t="str">
            <v>Ash</v>
          </cell>
          <cell r="Q120" t="str">
            <v>Volatile Matter</v>
          </cell>
          <cell r="R120" t="str">
            <v>Total Sulfur</v>
          </cell>
          <cell r="S120" t="str">
            <v>Calorific Value</v>
          </cell>
          <cell r="T120" t="str">
            <v>Phosphorus In Coal</v>
          </cell>
          <cell r="U120" t="str">
            <v>Crucible Swelling Number</v>
          </cell>
        </row>
        <row r="121">
          <cell r="E121" t="str">
            <v>Sinks</v>
          </cell>
          <cell r="F121" t="str">
            <v>Floats</v>
          </cell>
          <cell r="G121" t="str">
            <v>(%)</v>
          </cell>
          <cell r="H121" t="str">
            <v>(%ad)</v>
          </cell>
          <cell r="I121" t="str">
            <v>(%ad)</v>
          </cell>
          <cell r="J121" t="str">
            <v>(%ad)</v>
          </cell>
          <cell r="K121" t="str">
            <v>(%ad)</v>
          </cell>
          <cell r="L121" t="str">
            <v>(MJ/kg ad)</v>
          </cell>
          <cell r="M121" t="str">
            <v>(%db)</v>
          </cell>
          <cell r="N121" t="str">
            <v>(%)</v>
          </cell>
          <cell r="O121" t="str">
            <v>(%ad)</v>
          </cell>
          <cell r="P121" t="str">
            <v>(%ad)</v>
          </cell>
          <cell r="Q121" t="str">
            <v>(%ad)</v>
          </cell>
          <cell r="R121" t="str">
            <v>(%ad)</v>
          </cell>
          <cell r="S121" t="str">
            <v>(MJ/kg ad)</v>
          </cell>
          <cell r="T121" t="str">
            <v>(%db)</v>
          </cell>
        </row>
        <row r="122">
          <cell r="C122" t="str">
            <v>FS</v>
          </cell>
        </row>
        <row r="123">
          <cell r="C123" t="str">
            <v>0FS31F</v>
          </cell>
          <cell r="F123" t="str">
            <v/>
          </cell>
          <cell r="G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  <cell r="N123" t="str">
            <v/>
          </cell>
          <cell r="O123" t="str">
            <v/>
          </cell>
          <cell r="P123" t="str">
            <v/>
          </cell>
          <cell r="Q123" t="str">
            <v/>
          </cell>
          <cell r="R123" t="str">
            <v/>
          </cell>
          <cell r="S123" t="str">
            <v/>
          </cell>
          <cell r="T123" t="str">
            <v/>
          </cell>
          <cell r="U123" t="str">
            <v/>
          </cell>
        </row>
        <row r="124">
          <cell r="C124" t="str">
            <v>0FS31F</v>
          </cell>
          <cell r="E124" t="str">
            <v/>
          </cell>
          <cell r="F124" t="str">
            <v/>
          </cell>
          <cell r="G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  <cell r="N124" t="str">
            <v/>
          </cell>
          <cell r="O124" t="str">
            <v/>
          </cell>
          <cell r="P124" t="str">
            <v/>
          </cell>
          <cell r="Q124" t="str">
            <v/>
          </cell>
          <cell r="R124" t="str">
            <v/>
          </cell>
          <cell r="S124" t="str">
            <v/>
          </cell>
          <cell r="T124" t="str">
            <v/>
          </cell>
          <cell r="U124" t="str">
            <v/>
          </cell>
        </row>
        <row r="125">
          <cell r="C125" t="str">
            <v>0FS31F1</v>
          </cell>
          <cell r="E125" t="str">
            <v/>
          </cell>
          <cell r="F125" t="str">
            <v/>
          </cell>
          <cell r="G125">
            <v>100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  <cell r="N125">
            <v>100</v>
          </cell>
          <cell r="O125" t="str">
            <v/>
          </cell>
          <cell r="P125" t="str">
            <v/>
          </cell>
          <cell r="Q125" t="str">
            <v/>
          </cell>
          <cell r="R125" t="str">
            <v/>
          </cell>
          <cell r="S125" t="str">
            <v/>
          </cell>
          <cell r="T125" t="str">
            <v/>
          </cell>
          <cell r="U125" t="str">
            <v/>
          </cell>
        </row>
        <row r="126">
          <cell r="C126" t="str">
            <v>0FS31F2</v>
          </cell>
          <cell r="E126" t="str">
            <v/>
          </cell>
          <cell r="F126" t="str">
            <v/>
          </cell>
          <cell r="G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  <cell r="N126">
            <v>100</v>
          </cell>
          <cell r="O126" t="str">
            <v/>
          </cell>
          <cell r="P126" t="str">
            <v/>
          </cell>
          <cell r="Q126" t="str">
            <v/>
          </cell>
          <cell r="R126" t="str">
            <v/>
          </cell>
          <cell r="S126" t="str">
            <v/>
          </cell>
          <cell r="T126" t="str">
            <v/>
          </cell>
          <cell r="U126" t="str">
            <v/>
          </cell>
        </row>
        <row r="127">
          <cell r="C127" t="str">
            <v>0FS31F3</v>
          </cell>
          <cell r="E127" t="str">
            <v/>
          </cell>
          <cell r="F127" t="str">
            <v/>
          </cell>
          <cell r="G127">
            <v>0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  <cell r="N127">
            <v>100</v>
          </cell>
          <cell r="O127" t="str">
            <v/>
          </cell>
          <cell r="P127" t="str">
            <v/>
          </cell>
          <cell r="Q127" t="str">
            <v/>
          </cell>
          <cell r="R127" t="str">
            <v/>
          </cell>
          <cell r="S127" t="str">
            <v/>
          </cell>
          <cell r="T127" t="str">
            <v/>
          </cell>
          <cell r="U127" t="str">
            <v/>
          </cell>
        </row>
        <row r="128">
          <cell r="C128" t="str">
            <v>0FS31F4</v>
          </cell>
          <cell r="E128" t="str">
            <v/>
          </cell>
          <cell r="F128" t="str">
            <v/>
          </cell>
          <cell r="G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  <cell r="N128">
            <v>100</v>
          </cell>
          <cell r="O128" t="str">
            <v/>
          </cell>
          <cell r="P128" t="str">
            <v/>
          </cell>
          <cell r="Q128" t="str">
            <v/>
          </cell>
          <cell r="R128" t="str">
            <v/>
          </cell>
          <cell r="S128" t="str">
            <v/>
          </cell>
          <cell r="T128" t="str">
            <v/>
          </cell>
          <cell r="U128" t="str">
            <v/>
          </cell>
        </row>
        <row r="129">
          <cell r="C129" t="str">
            <v>0FS31F5</v>
          </cell>
          <cell r="E129" t="str">
            <v/>
          </cell>
          <cell r="F129" t="str">
            <v/>
          </cell>
          <cell r="G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  <cell r="N129" t="str">
            <v/>
          </cell>
          <cell r="O129" t="str">
            <v/>
          </cell>
          <cell r="P129" t="str">
            <v/>
          </cell>
          <cell r="Q129" t="str">
            <v/>
          </cell>
          <cell r="R129" t="str">
            <v/>
          </cell>
          <cell r="S129" t="str">
            <v/>
          </cell>
          <cell r="T129" t="str">
            <v/>
          </cell>
          <cell r="U129" t="str">
            <v/>
          </cell>
        </row>
        <row r="130">
          <cell r="C130" t="str">
            <v>0FS31F6</v>
          </cell>
          <cell r="E130" t="str">
            <v/>
          </cell>
          <cell r="F130" t="str">
            <v/>
          </cell>
          <cell r="G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  <cell r="N130" t="str">
            <v/>
          </cell>
          <cell r="O130" t="str">
            <v/>
          </cell>
          <cell r="P130" t="str">
            <v/>
          </cell>
          <cell r="Q130" t="str">
            <v/>
          </cell>
          <cell r="R130" t="str">
            <v/>
          </cell>
          <cell r="S130" t="str">
            <v/>
          </cell>
          <cell r="T130" t="str">
            <v/>
          </cell>
          <cell r="U130" t="str">
            <v/>
          </cell>
        </row>
        <row r="132">
          <cell r="E132" t="str">
            <v>Composite Identification</v>
          </cell>
          <cell r="F132" t="str">
            <v xml:space="preserve"> Ply Description</v>
          </cell>
          <cell r="G132" t="str">
            <v>BV Sample Number</v>
          </cell>
          <cell r="H132" t="str">
            <v>Depth From</v>
          </cell>
          <cell r="I132" t="str">
            <v>Depth To</v>
          </cell>
          <cell r="J132" t="str">
            <v>Recovered Thickness</v>
          </cell>
          <cell r="K132" t="str">
            <v>Interval</v>
          </cell>
          <cell r="L132" t="str">
            <v>Sample Type</v>
          </cell>
          <cell r="M132" t="str">
            <v>Initial Mass Tested</v>
          </cell>
          <cell r="O132" t="str">
            <v>Final Mass</v>
          </cell>
          <cell r="P132" t="str">
            <v>Loss / Gain</v>
          </cell>
          <cell r="Q132" t="str">
            <v>Raw Coal Relative Density (calculated)</v>
          </cell>
          <cell r="R132" t="str">
            <v>Raw Coal Moisture (calculated)</v>
          </cell>
          <cell r="S132" t="str">
            <v>Raw Coal Ash (calculated)</v>
          </cell>
          <cell r="T132" t="str">
            <v>Moisture (analysed)</v>
          </cell>
          <cell r="U132" t="str">
            <v>Ash (analysed)</v>
          </cell>
        </row>
        <row r="133">
          <cell r="C133" t="str">
            <v>RC</v>
          </cell>
          <cell r="H133" t="str">
            <v>(m)</v>
          </cell>
          <cell r="I133" t="str">
            <v>(m)</v>
          </cell>
          <cell r="J133" t="str">
            <v>(m)</v>
          </cell>
          <cell r="K133" t="str">
            <v>(m)</v>
          </cell>
          <cell r="M133" t="str">
            <v>(kg)</v>
          </cell>
          <cell r="O133" t="str">
            <v>(kg)</v>
          </cell>
          <cell r="P133" t="str">
            <v>(%)</v>
          </cell>
          <cell r="Q133" t="str">
            <v>(%ad)</v>
          </cell>
          <cell r="R133" t="str">
            <v>(%ad)</v>
          </cell>
          <cell r="S133" t="str">
            <v>(%ad)</v>
          </cell>
          <cell r="T133" t="str">
            <v>(%ad)</v>
          </cell>
          <cell r="U133" t="str">
            <v>(%ad)</v>
          </cell>
        </row>
        <row r="134">
          <cell r="C134" t="str">
            <v>0RC32</v>
          </cell>
          <cell r="E134" t="str">
            <v/>
          </cell>
          <cell r="F134" t="str">
            <v/>
          </cell>
          <cell r="G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e">
            <v>#N/A</v>
          </cell>
          <cell r="O134">
            <v>1E-3</v>
          </cell>
          <cell r="P134" t="e">
            <v>#N/A</v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</row>
        <row r="136">
          <cell r="E136" t="str">
            <v>Density Fraction</v>
          </cell>
          <cell r="G136" t="str">
            <v>Fractional Analyses</v>
          </cell>
          <cell r="N136" t="str">
            <v>Cumulative Analyses</v>
          </cell>
        </row>
        <row r="137">
          <cell r="G137" t="str">
            <v xml:space="preserve">Mass </v>
          </cell>
          <cell r="H137" t="str">
            <v>Moisture</v>
          </cell>
          <cell r="I137" t="str">
            <v xml:space="preserve">Ash </v>
          </cell>
          <cell r="J137" t="str">
            <v xml:space="preserve">Volatile Matter </v>
          </cell>
          <cell r="K137" t="str">
            <v>Total Sulfur</v>
          </cell>
          <cell r="L137" t="str">
            <v>Calorific Value</v>
          </cell>
          <cell r="M137" t="str">
            <v>Phosphorus In Coal</v>
          </cell>
          <cell r="N137" t="str">
            <v xml:space="preserve">Mass </v>
          </cell>
          <cell r="O137" t="str">
            <v>Moisture</v>
          </cell>
          <cell r="P137" t="str">
            <v>Ash</v>
          </cell>
          <cell r="Q137" t="str">
            <v>Volatile Matter</v>
          </cell>
          <cell r="R137" t="str">
            <v>Total Sulfur</v>
          </cell>
          <cell r="S137" t="str">
            <v>Calorific Value</v>
          </cell>
          <cell r="T137" t="str">
            <v>Phosphorus In Coal</v>
          </cell>
          <cell r="U137" t="str">
            <v>Crucible Swelling Number</v>
          </cell>
        </row>
        <row r="138">
          <cell r="E138" t="str">
            <v>Sinks</v>
          </cell>
          <cell r="F138" t="str">
            <v>Floats</v>
          </cell>
          <cell r="G138" t="str">
            <v>(%)</v>
          </cell>
          <cell r="H138" t="str">
            <v>(%ad)</v>
          </cell>
          <cell r="I138" t="str">
            <v>(%ad)</v>
          </cell>
          <cell r="J138" t="str">
            <v>(%ad)</v>
          </cell>
          <cell r="K138" t="str">
            <v>(%ad)</v>
          </cell>
          <cell r="L138" t="str">
            <v>(MJ/kg ad)</v>
          </cell>
          <cell r="M138" t="str">
            <v>(%db)</v>
          </cell>
          <cell r="N138" t="str">
            <v>(%)</v>
          </cell>
          <cell r="O138" t="str">
            <v>(%ad)</v>
          </cell>
          <cell r="P138" t="str">
            <v>(%ad)</v>
          </cell>
          <cell r="Q138" t="str">
            <v>(%ad)</v>
          </cell>
          <cell r="R138" t="str">
            <v>(%ad)</v>
          </cell>
          <cell r="S138" t="str">
            <v>(MJ/kg ad)</v>
          </cell>
          <cell r="T138" t="str">
            <v>(%db)</v>
          </cell>
        </row>
        <row r="139">
          <cell r="C139" t="str">
            <v>FS</v>
          </cell>
        </row>
        <row r="140">
          <cell r="C140" t="str">
            <v>0FS32F</v>
          </cell>
          <cell r="F140" t="str">
            <v/>
          </cell>
          <cell r="G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  <cell r="N140" t="str">
            <v/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</row>
        <row r="141">
          <cell r="C141" t="str">
            <v>0FS32F</v>
          </cell>
          <cell r="E141" t="str">
            <v/>
          </cell>
          <cell r="F141" t="str">
            <v/>
          </cell>
          <cell r="G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  <cell r="N141" t="str">
            <v/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T141" t="str">
            <v/>
          </cell>
          <cell r="U141" t="str">
            <v/>
          </cell>
        </row>
        <row r="142">
          <cell r="C142" t="str">
            <v>0FS32F1</v>
          </cell>
          <cell r="E142" t="str">
            <v/>
          </cell>
          <cell r="F142" t="str">
            <v/>
          </cell>
          <cell r="G142">
            <v>100</v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  <cell r="N142">
            <v>100</v>
          </cell>
          <cell r="O142" t="str">
            <v/>
          </cell>
          <cell r="P142" t="str">
            <v/>
          </cell>
          <cell r="Q142" t="str">
            <v/>
          </cell>
          <cell r="R142" t="str">
            <v/>
          </cell>
          <cell r="S142" t="str">
            <v/>
          </cell>
          <cell r="T142" t="str">
            <v/>
          </cell>
          <cell r="U142" t="str">
            <v/>
          </cell>
        </row>
        <row r="143">
          <cell r="C143" t="str">
            <v>0FS32F2</v>
          </cell>
          <cell r="E143" t="str">
            <v/>
          </cell>
          <cell r="F143" t="str">
            <v/>
          </cell>
          <cell r="G143">
            <v>0</v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  <cell r="N143">
            <v>100</v>
          </cell>
          <cell r="O143" t="str">
            <v/>
          </cell>
          <cell r="P143" t="str">
            <v/>
          </cell>
          <cell r="Q143" t="str">
            <v/>
          </cell>
          <cell r="R143" t="str">
            <v/>
          </cell>
          <cell r="S143" t="str">
            <v/>
          </cell>
          <cell r="T143" t="str">
            <v/>
          </cell>
          <cell r="U143" t="str">
            <v/>
          </cell>
        </row>
        <row r="144">
          <cell r="C144" t="str">
            <v>0FS32F3</v>
          </cell>
          <cell r="E144" t="str">
            <v/>
          </cell>
          <cell r="F144" t="str">
            <v/>
          </cell>
          <cell r="G144">
            <v>0</v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  <cell r="N144">
            <v>100</v>
          </cell>
          <cell r="O144" t="str">
            <v/>
          </cell>
          <cell r="P144" t="str">
            <v/>
          </cell>
          <cell r="Q144" t="str">
            <v/>
          </cell>
          <cell r="R144" t="str">
            <v/>
          </cell>
          <cell r="S144" t="str">
            <v/>
          </cell>
          <cell r="T144" t="str">
            <v/>
          </cell>
          <cell r="U144" t="str">
            <v/>
          </cell>
        </row>
        <row r="145">
          <cell r="C145" t="str">
            <v>0FS32F4</v>
          </cell>
          <cell r="E145" t="str">
            <v/>
          </cell>
          <cell r="F145" t="str">
            <v/>
          </cell>
          <cell r="G145">
            <v>0</v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  <cell r="N145">
            <v>100</v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S145" t="str">
            <v/>
          </cell>
          <cell r="T145" t="str">
            <v/>
          </cell>
          <cell r="U145" t="str">
            <v/>
          </cell>
        </row>
        <row r="146">
          <cell r="C146" t="str">
            <v>0FS32F5</v>
          </cell>
          <cell r="E146" t="str">
            <v/>
          </cell>
          <cell r="F146" t="str">
            <v/>
          </cell>
          <cell r="G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  <cell r="N146" t="str">
            <v/>
          </cell>
          <cell r="O146" t="str">
            <v/>
          </cell>
          <cell r="P146" t="str">
            <v/>
          </cell>
          <cell r="Q146" t="str">
            <v/>
          </cell>
          <cell r="R146" t="str">
            <v/>
          </cell>
          <cell r="S146" t="str">
            <v/>
          </cell>
          <cell r="T146" t="str">
            <v/>
          </cell>
          <cell r="U146" t="str">
            <v/>
          </cell>
        </row>
        <row r="147">
          <cell r="C147" t="str">
            <v>0FS32F6</v>
          </cell>
          <cell r="E147" t="str">
            <v/>
          </cell>
          <cell r="F147" t="str">
            <v/>
          </cell>
          <cell r="G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  <cell r="N147" t="str">
            <v/>
          </cell>
          <cell r="O147" t="str">
            <v/>
          </cell>
          <cell r="P147" t="str">
            <v/>
          </cell>
          <cell r="Q147" t="str">
            <v/>
          </cell>
          <cell r="R147" t="str">
            <v/>
          </cell>
          <cell r="S147" t="str">
            <v/>
          </cell>
          <cell r="T147" t="str">
            <v/>
          </cell>
          <cell r="U147" t="str">
            <v/>
          </cell>
        </row>
        <row r="149">
          <cell r="C149" t="str">
            <v/>
          </cell>
          <cell r="E149" t="str">
            <v>Composite Identification</v>
          </cell>
          <cell r="F149" t="str">
            <v xml:space="preserve"> Ply Description</v>
          </cell>
          <cell r="G149" t="str">
            <v>BV Sample Number</v>
          </cell>
          <cell r="H149" t="str">
            <v>Depth From</v>
          </cell>
          <cell r="I149" t="str">
            <v>Depth To</v>
          </cell>
          <cell r="J149" t="str">
            <v>Recovered Thickness</v>
          </cell>
          <cell r="K149" t="str">
            <v>Interval</v>
          </cell>
          <cell r="L149" t="str">
            <v>Sample Type</v>
          </cell>
          <cell r="M149" t="str">
            <v>Initial Mass Tested</v>
          </cell>
          <cell r="O149" t="str">
            <v>Final Mass</v>
          </cell>
          <cell r="P149" t="str">
            <v>Loss / Gain</v>
          </cell>
          <cell r="Q149" t="str">
            <v>Raw Coal Relative Density (calculated)</v>
          </cell>
          <cell r="R149" t="str">
            <v>Raw Coal Moisture (calculated)</v>
          </cell>
          <cell r="S149" t="str">
            <v>Raw Coal Ash (calculated)</v>
          </cell>
          <cell r="T149" t="str">
            <v>Moisture (analysed)</v>
          </cell>
          <cell r="U149" t="str">
            <v>Ash (analysed)</v>
          </cell>
        </row>
        <row r="150">
          <cell r="C150" t="str">
            <v>RC</v>
          </cell>
          <cell r="H150" t="str">
            <v>(m)</v>
          </cell>
          <cell r="I150" t="str">
            <v>(m)</v>
          </cell>
          <cell r="J150" t="str">
            <v>(m)</v>
          </cell>
          <cell r="K150" t="str">
            <v>(m)</v>
          </cell>
          <cell r="M150" t="str">
            <v>(kg)</v>
          </cell>
          <cell r="O150" t="str">
            <v>(kg)</v>
          </cell>
          <cell r="P150" t="str">
            <v>(%)</v>
          </cell>
          <cell r="Q150" t="str">
            <v>(%ad)</v>
          </cell>
          <cell r="R150" t="str">
            <v>(%ad)</v>
          </cell>
          <cell r="S150" t="str">
            <v>(%ad)</v>
          </cell>
          <cell r="T150" t="str">
            <v>(%ad)</v>
          </cell>
          <cell r="U150" t="str">
            <v>(%ad)</v>
          </cell>
        </row>
        <row r="151">
          <cell r="C151" t="str">
            <v>0RC33</v>
          </cell>
          <cell r="E151" t="str">
            <v/>
          </cell>
          <cell r="F151" t="str">
            <v/>
          </cell>
          <cell r="G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e">
            <v>#N/A</v>
          </cell>
          <cell r="O151">
            <v>1E-3</v>
          </cell>
          <cell r="P151" t="e">
            <v>#N/A</v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</row>
        <row r="153">
          <cell r="E153" t="str">
            <v>Density Fraction</v>
          </cell>
          <cell r="G153" t="str">
            <v>Fractional Analyses</v>
          </cell>
          <cell r="N153" t="str">
            <v>Cumulative Analyses</v>
          </cell>
        </row>
        <row r="154">
          <cell r="G154" t="str">
            <v xml:space="preserve">Mass </v>
          </cell>
          <cell r="H154" t="str">
            <v>Moisture</v>
          </cell>
          <cell r="I154" t="str">
            <v xml:space="preserve">Ash </v>
          </cell>
          <cell r="J154" t="str">
            <v xml:space="preserve">Volatile Matter </v>
          </cell>
          <cell r="K154" t="str">
            <v>Total Sulfur</v>
          </cell>
          <cell r="L154" t="str">
            <v>Calorific Value</v>
          </cell>
          <cell r="M154" t="str">
            <v>Phosphorus In Coal</v>
          </cell>
          <cell r="N154" t="str">
            <v xml:space="preserve">Mass </v>
          </cell>
          <cell r="O154" t="str">
            <v>Moisture</v>
          </cell>
          <cell r="P154" t="str">
            <v>Ash</v>
          </cell>
          <cell r="Q154" t="str">
            <v>Volatile Matter</v>
          </cell>
          <cell r="R154" t="str">
            <v>Total Sulfur</v>
          </cell>
          <cell r="S154" t="str">
            <v>Calorific Value</v>
          </cell>
          <cell r="T154" t="str">
            <v>Phosphorus In Coal</v>
          </cell>
          <cell r="U154" t="str">
            <v>Crucible Swelling Number</v>
          </cell>
        </row>
        <row r="155">
          <cell r="E155" t="str">
            <v>Sinks</v>
          </cell>
          <cell r="F155" t="str">
            <v>Floats</v>
          </cell>
          <cell r="G155" t="str">
            <v>(%)</v>
          </cell>
          <cell r="H155" t="str">
            <v>(%ad)</v>
          </cell>
          <cell r="I155" t="str">
            <v>(%ad)</v>
          </cell>
          <cell r="J155" t="str">
            <v>(%ad)</v>
          </cell>
          <cell r="K155" t="str">
            <v>(%ad)</v>
          </cell>
          <cell r="L155" t="str">
            <v>(MJ/kg ad)</v>
          </cell>
          <cell r="M155" t="str">
            <v>(%db)</v>
          </cell>
          <cell r="N155" t="str">
            <v>(%)</v>
          </cell>
          <cell r="O155" t="str">
            <v>(%ad)</v>
          </cell>
          <cell r="P155" t="str">
            <v>(%ad)</v>
          </cell>
          <cell r="Q155" t="str">
            <v>(%ad)</v>
          </cell>
          <cell r="R155" t="str">
            <v>(%ad)</v>
          </cell>
          <cell r="S155" t="str">
            <v>(MJ/kg ad)</v>
          </cell>
          <cell r="T155" t="str">
            <v>(%db)</v>
          </cell>
        </row>
        <row r="156">
          <cell r="C156" t="str">
            <v>FS</v>
          </cell>
        </row>
        <row r="157">
          <cell r="C157" t="str">
            <v>0FS33F</v>
          </cell>
          <cell r="F157" t="str">
            <v/>
          </cell>
          <cell r="G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  <cell r="N157" t="str">
            <v/>
          </cell>
          <cell r="O157" t="str">
            <v/>
          </cell>
          <cell r="P157" t="str">
            <v/>
          </cell>
          <cell r="Q157" t="str">
            <v/>
          </cell>
          <cell r="R157" t="str">
            <v/>
          </cell>
          <cell r="S157" t="str">
            <v/>
          </cell>
          <cell r="T157" t="str">
            <v/>
          </cell>
          <cell r="U157" t="str">
            <v/>
          </cell>
        </row>
        <row r="158">
          <cell r="C158" t="str">
            <v>0FS33F</v>
          </cell>
          <cell r="E158" t="str">
            <v/>
          </cell>
          <cell r="F158" t="str">
            <v/>
          </cell>
          <cell r="G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  <cell r="N158" t="str">
            <v/>
          </cell>
          <cell r="O158" t="str">
            <v/>
          </cell>
          <cell r="P158" t="str">
            <v/>
          </cell>
          <cell r="Q158" t="str">
            <v/>
          </cell>
          <cell r="R158" t="str">
            <v/>
          </cell>
          <cell r="S158" t="str">
            <v/>
          </cell>
          <cell r="T158" t="str">
            <v/>
          </cell>
          <cell r="U158" t="str">
            <v/>
          </cell>
        </row>
        <row r="159">
          <cell r="C159" t="str">
            <v>0FS33F1</v>
          </cell>
          <cell r="E159" t="str">
            <v/>
          </cell>
          <cell r="F159" t="str">
            <v/>
          </cell>
          <cell r="G159">
            <v>100</v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  <cell r="N159">
            <v>100</v>
          </cell>
          <cell r="O159" t="str">
            <v/>
          </cell>
          <cell r="P159" t="str">
            <v/>
          </cell>
          <cell r="Q159" t="str">
            <v/>
          </cell>
          <cell r="R159" t="str">
            <v/>
          </cell>
          <cell r="S159" t="str">
            <v/>
          </cell>
          <cell r="T159" t="str">
            <v/>
          </cell>
          <cell r="U159" t="str">
            <v/>
          </cell>
        </row>
        <row r="160">
          <cell r="C160" t="str">
            <v>0FS33F2</v>
          </cell>
          <cell r="E160" t="str">
            <v/>
          </cell>
          <cell r="F160" t="str">
            <v/>
          </cell>
          <cell r="G160">
            <v>0</v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  <cell r="N160">
            <v>100</v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</row>
        <row r="161">
          <cell r="C161" t="str">
            <v>0FS33F3</v>
          </cell>
          <cell r="E161" t="str">
            <v/>
          </cell>
          <cell r="F161" t="str">
            <v/>
          </cell>
          <cell r="G161">
            <v>0</v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  <cell r="N161">
            <v>100</v>
          </cell>
          <cell r="O161" t="str">
            <v/>
          </cell>
          <cell r="P161" t="str">
            <v/>
          </cell>
          <cell r="Q161" t="str">
            <v/>
          </cell>
          <cell r="R161" t="str">
            <v/>
          </cell>
          <cell r="S161" t="str">
            <v/>
          </cell>
          <cell r="T161" t="str">
            <v/>
          </cell>
          <cell r="U161" t="str">
            <v/>
          </cell>
        </row>
        <row r="162">
          <cell r="C162" t="str">
            <v>0FS33F4</v>
          </cell>
          <cell r="E162" t="str">
            <v/>
          </cell>
          <cell r="F162" t="str">
            <v/>
          </cell>
          <cell r="G162">
            <v>0</v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  <cell r="N162">
            <v>100</v>
          </cell>
          <cell r="O162" t="str">
            <v/>
          </cell>
          <cell r="P162" t="str">
            <v/>
          </cell>
          <cell r="Q162" t="str">
            <v/>
          </cell>
          <cell r="R162" t="str">
            <v/>
          </cell>
          <cell r="S162" t="str">
            <v/>
          </cell>
          <cell r="T162" t="str">
            <v/>
          </cell>
          <cell r="U162" t="str">
            <v/>
          </cell>
        </row>
        <row r="163">
          <cell r="C163" t="str">
            <v>0FS33F5</v>
          </cell>
          <cell r="E163" t="str">
            <v/>
          </cell>
          <cell r="F163" t="str">
            <v/>
          </cell>
          <cell r="G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  <cell r="N163" t="str">
            <v/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</row>
        <row r="164">
          <cell r="C164" t="str">
            <v>0FS33F6</v>
          </cell>
          <cell r="E164" t="str">
            <v/>
          </cell>
          <cell r="F164" t="str">
            <v/>
          </cell>
          <cell r="G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  <cell r="N164" t="str">
            <v/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/>
          </cell>
        </row>
        <row r="166">
          <cell r="E166" t="str">
            <v>Composite Identification</v>
          </cell>
          <cell r="F166" t="str">
            <v xml:space="preserve"> Ply Description</v>
          </cell>
          <cell r="G166" t="str">
            <v>BV Sample Number</v>
          </cell>
          <cell r="H166" t="str">
            <v>Depth From</v>
          </cell>
          <cell r="I166" t="str">
            <v>Depth To</v>
          </cell>
          <cell r="J166" t="str">
            <v>Recovered Thickness</v>
          </cell>
          <cell r="K166" t="str">
            <v>Interval</v>
          </cell>
          <cell r="L166" t="str">
            <v>Sample Type</v>
          </cell>
          <cell r="M166" t="str">
            <v>Initial Mass Tested</v>
          </cell>
          <cell r="O166" t="str">
            <v>Final Mass</v>
          </cell>
          <cell r="P166" t="str">
            <v>Loss / Gain</v>
          </cell>
          <cell r="Q166" t="str">
            <v>Raw Coal Relative Density (calculated)</v>
          </cell>
          <cell r="R166" t="str">
            <v>Raw Coal Moisture (calculated)</v>
          </cell>
          <cell r="S166" t="str">
            <v>Raw Coal Ash (calculated)</v>
          </cell>
          <cell r="T166" t="str">
            <v>Moisture (analysed)</v>
          </cell>
          <cell r="U166" t="str">
            <v>Ash (analysed)</v>
          </cell>
        </row>
        <row r="167">
          <cell r="C167" t="str">
            <v>RC</v>
          </cell>
          <cell r="H167" t="str">
            <v>(m)</v>
          </cell>
          <cell r="I167" t="str">
            <v>(m)</v>
          </cell>
          <cell r="J167" t="str">
            <v>(m)</v>
          </cell>
          <cell r="K167" t="str">
            <v>(m)</v>
          </cell>
          <cell r="M167" t="str">
            <v>(kg)</v>
          </cell>
          <cell r="O167" t="str">
            <v>(kg)</v>
          </cell>
          <cell r="P167" t="str">
            <v>(%)</v>
          </cell>
          <cell r="Q167" t="str">
            <v>(%ad)</v>
          </cell>
          <cell r="R167" t="str">
            <v>(%ad)</v>
          </cell>
          <cell r="S167" t="str">
            <v>(%ad)</v>
          </cell>
          <cell r="T167" t="str">
            <v>(%ad)</v>
          </cell>
          <cell r="U167" t="str">
            <v>(%ad)</v>
          </cell>
        </row>
        <row r="168">
          <cell r="C168" t="str">
            <v>0RC34</v>
          </cell>
          <cell r="E168" t="str">
            <v/>
          </cell>
          <cell r="F168" t="str">
            <v/>
          </cell>
          <cell r="G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e">
            <v>#N/A</v>
          </cell>
          <cell r="O168">
            <v>1E-3</v>
          </cell>
          <cell r="P168" t="e">
            <v>#N/A</v>
          </cell>
          <cell r="Q168" t="str">
            <v/>
          </cell>
          <cell r="R168" t="str">
            <v/>
          </cell>
          <cell r="S168" t="str">
            <v/>
          </cell>
          <cell r="T168" t="str">
            <v/>
          </cell>
          <cell r="U168" t="str">
            <v/>
          </cell>
        </row>
        <row r="170">
          <cell r="E170" t="str">
            <v>Density Fraction</v>
          </cell>
          <cell r="G170" t="str">
            <v>Fractional Analyses</v>
          </cell>
          <cell r="N170" t="str">
            <v>Cumulative Analyses</v>
          </cell>
        </row>
        <row r="171">
          <cell r="G171" t="str">
            <v xml:space="preserve">Mass </v>
          </cell>
          <cell r="H171" t="str">
            <v>Moisture</v>
          </cell>
          <cell r="I171" t="str">
            <v xml:space="preserve">Ash </v>
          </cell>
          <cell r="J171" t="str">
            <v xml:space="preserve">Volatile Matter </v>
          </cell>
          <cell r="K171" t="str">
            <v>Total Sulfur</v>
          </cell>
          <cell r="L171" t="str">
            <v>Calorific Value</v>
          </cell>
          <cell r="M171" t="str">
            <v>Phosphorus In Coal</v>
          </cell>
          <cell r="N171" t="str">
            <v xml:space="preserve">Mass </v>
          </cell>
          <cell r="O171" t="str">
            <v>Moisture</v>
          </cell>
          <cell r="P171" t="str">
            <v>Ash</v>
          </cell>
          <cell r="Q171" t="str">
            <v>Volatile Matter</v>
          </cell>
          <cell r="R171" t="str">
            <v>Total Sulfur</v>
          </cell>
          <cell r="S171" t="str">
            <v>Calorific Value</v>
          </cell>
          <cell r="T171" t="str">
            <v>Phosphorus In Coal</v>
          </cell>
          <cell r="U171" t="str">
            <v>Crucible Swelling Number</v>
          </cell>
        </row>
        <row r="172">
          <cell r="E172" t="str">
            <v>Sinks</v>
          </cell>
          <cell r="F172" t="str">
            <v>Floats</v>
          </cell>
          <cell r="G172" t="str">
            <v>(%)</v>
          </cell>
          <cell r="H172" t="str">
            <v>(%ad)</v>
          </cell>
          <cell r="I172" t="str">
            <v>(%ad)</v>
          </cell>
          <cell r="J172" t="str">
            <v>(%ad)</v>
          </cell>
          <cell r="K172" t="str">
            <v>(%ad)</v>
          </cell>
          <cell r="L172" t="str">
            <v>(MJ/kg ad)</v>
          </cell>
          <cell r="M172" t="str">
            <v>(%db)</v>
          </cell>
          <cell r="N172" t="str">
            <v>(%)</v>
          </cell>
          <cell r="O172" t="str">
            <v>(%ad)</v>
          </cell>
          <cell r="P172" t="str">
            <v>(%ad)</v>
          </cell>
          <cell r="Q172" t="str">
            <v>(%ad)</v>
          </cell>
          <cell r="R172" t="str">
            <v>(%ad)</v>
          </cell>
          <cell r="S172" t="str">
            <v>(MJ/kg ad)</v>
          </cell>
          <cell r="T172" t="str">
            <v>(%db)</v>
          </cell>
        </row>
        <row r="173">
          <cell r="C173" t="str">
            <v>FS</v>
          </cell>
        </row>
        <row r="174">
          <cell r="C174" t="str">
            <v>0FS34F</v>
          </cell>
          <cell r="F174" t="str">
            <v/>
          </cell>
          <cell r="G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  <cell r="N174" t="str">
            <v/>
          </cell>
          <cell r="O174" t="str">
            <v/>
          </cell>
          <cell r="P174" t="str">
            <v/>
          </cell>
          <cell r="Q174" t="str">
            <v/>
          </cell>
          <cell r="R174" t="str">
            <v/>
          </cell>
          <cell r="S174" t="str">
            <v/>
          </cell>
          <cell r="T174" t="str">
            <v/>
          </cell>
          <cell r="U174" t="str">
            <v/>
          </cell>
        </row>
        <row r="175">
          <cell r="C175" t="str">
            <v>0FS34F</v>
          </cell>
          <cell r="E175" t="str">
            <v/>
          </cell>
          <cell r="F175" t="str">
            <v/>
          </cell>
          <cell r="G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  <cell r="U175" t="str">
            <v/>
          </cell>
        </row>
        <row r="176">
          <cell r="C176" t="str">
            <v>0FS34F1</v>
          </cell>
          <cell r="E176" t="str">
            <v/>
          </cell>
          <cell r="F176" t="str">
            <v/>
          </cell>
          <cell r="G176">
            <v>100</v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  <cell r="N176">
            <v>100</v>
          </cell>
          <cell r="O176" t="str">
            <v/>
          </cell>
          <cell r="P176" t="str">
            <v/>
          </cell>
          <cell r="Q176" t="str">
            <v/>
          </cell>
          <cell r="R176" t="str">
            <v/>
          </cell>
          <cell r="S176" t="str">
            <v/>
          </cell>
          <cell r="T176" t="str">
            <v/>
          </cell>
          <cell r="U176" t="str">
            <v/>
          </cell>
        </row>
        <row r="177">
          <cell r="C177" t="str">
            <v>0FS34F2</v>
          </cell>
          <cell r="E177" t="str">
            <v/>
          </cell>
          <cell r="F177" t="str">
            <v/>
          </cell>
          <cell r="G177">
            <v>0</v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  <cell r="N177">
            <v>100</v>
          </cell>
          <cell r="O177" t="str">
            <v/>
          </cell>
          <cell r="P177" t="str">
            <v/>
          </cell>
          <cell r="Q177" t="str">
            <v/>
          </cell>
          <cell r="R177" t="str">
            <v/>
          </cell>
          <cell r="S177" t="str">
            <v/>
          </cell>
          <cell r="T177" t="str">
            <v/>
          </cell>
          <cell r="U177" t="str">
            <v/>
          </cell>
        </row>
        <row r="178">
          <cell r="C178" t="str">
            <v>0FS34F3</v>
          </cell>
          <cell r="E178" t="str">
            <v/>
          </cell>
          <cell r="F178" t="str">
            <v/>
          </cell>
          <cell r="G178">
            <v>0</v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  <cell r="N178">
            <v>100</v>
          </cell>
          <cell r="O178" t="str">
            <v/>
          </cell>
          <cell r="P178" t="str">
            <v/>
          </cell>
          <cell r="Q178" t="str">
            <v/>
          </cell>
          <cell r="R178" t="str">
            <v/>
          </cell>
          <cell r="S178" t="str">
            <v/>
          </cell>
          <cell r="T178" t="str">
            <v/>
          </cell>
          <cell r="U178" t="str">
            <v/>
          </cell>
        </row>
        <row r="179">
          <cell r="C179" t="str">
            <v>0FS34F4</v>
          </cell>
          <cell r="E179" t="str">
            <v/>
          </cell>
          <cell r="F179" t="str">
            <v/>
          </cell>
          <cell r="G179">
            <v>0</v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  <cell r="N179">
            <v>100</v>
          </cell>
          <cell r="O179" t="str">
            <v/>
          </cell>
          <cell r="P179" t="str">
            <v/>
          </cell>
          <cell r="Q179" t="str">
            <v/>
          </cell>
          <cell r="R179" t="str">
            <v/>
          </cell>
          <cell r="S179" t="str">
            <v/>
          </cell>
          <cell r="T179" t="str">
            <v/>
          </cell>
          <cell r="U179" t="str">
            <v/>
          </cell>
        </row>
        <row r="180">
          <cell r="C180" t="str">
            <v>0FS34F5</v>
          </cell>
          <cell r="E180" t="str">
            <v/>
          </cell>
          <cell r="F180" t="str">
            <v/>
          </cell>
          <cell r="G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  <cell r="N180" t="str">
            <v/>
          </cell>
          <cell r="O180" t="str">
            <v/>
          </cell>
          <cell r="P180" t="str">
            <v/>
          </cell>
          <cell r="Q180" t="str">
            <v/>
          </cell>
          <cell r="R180" t="str">
            <v/>
          </cell>
          <cell r="S180" t="str">
            <v/>
          </cell>
          <cell r="T180" t="str">
            <v/>
          </cell>
          <cell r="U180" t="str">
            <v/>
          </cell>
        </row>
        <row r="181">
          <cell r="C181" t="str">
            <v>0FS34F6</v>
          </cell>
          <cell r="E181" t="str">
            <v/>
          </cell>
          <cell r="F181" t="str">
            <v/>
          </cell>
          <cell r="G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  <cell r="N181" t="str">
            <v/>
          </cell>
          <cell r="O181" t="str">
            <v/>
          </cell>
          <cell r="P181" t="str">
            <v/>
          </cell>
          <cell r="Q181" t="str">
            <v/>
          </cell>
          <cell r="R181" t="str">
            <v/>
          </cell>
          <cell r="S181" t="str">
            <v/>
          </cell>
          <cell r="T181" t="str">
            <v/>
          </cell>
          <cell r="U181" t="str">
            <v/>
          </cell>
        </row>
        <row r="184">
          <cell r="C184" t="str">
            <v/>
          </cell>
          <cell r="E184" t="str">
            <v>Composite Identification</v>
          </cell>
          <cell r="F184" t="str">
            <v xml:space="preserve"> Ply Description</v>
          </cell>
          <cell r="G184" t="str">
            <v>BV Sample Number</v>
          </cell>
          <cell r="H184" t="str">
            <v>Depth From</v>
          </cell>
          <cell r="I184" t="str">
            <v>Depth To</v>
          </cell>
          <cell r="J184" t="str">
            <v>Recovered Thickness</v>
          </cell>
          <cell r="K184" t="str">
            <v>Interval</v>
          </cell>
          <cell r="L184" t="str">
            <v>Sample Type</v>
          </cell>
          <cell r="M184" t="str">
            <v>Initial Mass Tested</v>
          </cell>
          <cell r="O184" t="str">
            <v>Final Mass</v>
          </cell>
          <cell r="P184" t="str">
            <v>Loss / Gain</v>
          </cell>
          <cell r="Q184" t="str">
            <v>Raw Coal Relative Density (calculated)</v>
          </cell>
          <cell r="R184" t="str">
            <v>Raw Coal Moisture (calculated)</v>
          </cell>
          <cell r="S184" t="str">
            <v>Raw Coal Ash (calculated)</v>
          </cell>
          <cell r="T184" t="str">
            <v>Moisture (analysed)</v>
          </cell>
          <cell r="U184" t="str">
            <v>Ash (analysed)</v>
          </cell>
        </row>
        <row r="185">
          <cell r="C185" t="str">
            <v>RC</v>
          </cell>
          <cell r="H185" t="str">
            <v>(m)</v>
          </cell>
          <cell r="I185" t="str">
            <v>(m)</v>
          </cell>
          <cell r="J185" t="str">
            <v>(m)</v>
          </cell>
          <cell r="K185" t="str">
            <v>(m)</v>
          </cell>
          <cell r="M185" t="str">
            <v>(kg)</v>
          </cell>
          <cell r="O185" t="str">
            <v>(kg)</v>
          </cell>
          <cell r="P185" t="str">
            <v>(%)</v>
          </cell>
          <cell r="Q185" t="str">
            <v>(%ad)</v>
          </cell>
          <cell r="R185" t="str">
            <v>(%ad)</v>
          </cell>
          <cell r="S185" t="str">
            <v>(%ad)</v>
          </cell>
          <cell r="T185" t="str">
            <v>(%ad)</v>
          </cell>
          <cell r="U185" t="str">
            <v>(%ad)</v>
          </cell>
        </row>
        <row r="186">
          <cell r="C186" t="str">
            <v>0RC35</v>
          </cell>
          <cell r="E186" t="str">
            <v/>
          </cell>
          <cell r="F186" t="str">
            <v/>
          </cell>
          <cell r="G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e">
            <v>#N/A</v>
          </cell>
          <cell r="O186">
            <v>1E-3</v>
          </cell>
          <cell r="P186" t="e">
            <v>#N/A</v>
          </cell>
          <cell r="Q186" t="str">
            <v/>
          </cell>
          <cell r="R186" t="str">
            <v/>
          </cell>
          <cell r="S186" t="str">
            <v/>
          </cell>
          <cell r="T186" t="str">
            <v/>
          </cell>
          <cell r="U186" t="str">
            <v/>
          </cell>
        </row>
        <row r="188">
          <cell r="E188" t="str">
            <v>Density Fraction</v>
          </cell>
          <cell r="G188" t="str">
            <v>Fractional Analyses</v>
          </cell>
          <cell r="N188" t="str">
            <v>Cumulative Analyses</v>
          </cell>
        </row>
        <row r="189">
          <cell r="G189" t="str">
            <v xml:space="preserve">Mass </v>
          </cell>
          <cell r="H189" t="str">
            <v>Moisture</v>
          </cell>
          <cell r="I189" t="str">
            <v xml:space="preserve">Ash </v>
          </cell>
          <cell r="J189" t="str">
            <v xml:space="preserve">Volatile Matter </v>
          </cell>
          <cell r="K189" t="str">
            <v>Total Sulfur</v>
          </cell>
          <cell r="L189" t="str">
            <v>Calorific Value</v>
          </cell>
          <cell r="M189" t="str">
            <v>Phosphorus In Coal</v>
          </cell>
          <cell r="N189" t="str">
            <v xml:space="preserve">Mass </v>
          </cell>
          <cell r="O189" t="str">
            <v>Moisture</v>
          </cell>
          <cell r="P189" t="str">
            <v>Ash</v>
          </cell>
          <cell r="Q189" t="str">
            <v>Volatile Matter</v>
          </cell>
          <cell r="R189" t="str">
            <v>Total Sulfur</v>
          </cell>
          <cell r="S189" t="str">
            <v>Calorific Value</v>
          </cell>
          <cell r="T189" t="str">
            <v>Phosphorus In Coal</v>
          </cell>
          <cell r="U189" t="str">
            <v>Crucible Swelling Number</v>
          </cell>
        </row>
        <row r="190">
          <cell r="E190" t="str">
            <v>Sinks</v>
          </cell>
          <cell r="F190" t="str">
            <v>Floats</v>
          </cell>
          <cell r="G190" t="str">
            <v>(%)</v>
          </cell>
          <cell r="H190" t="str">
            <v>(%ad)</v>
          </cell>
          <cell r="I190" t="str">
            <v>(%ad)</v>
          </cell>
          <cell r="J190" t="str">
            <v>(%ad)</v>
          </cell>
          <cell r="K190" t="str">
            <v>(%ad)</v>
          </cell>
          <cell r="L190" t="str">
            <v>(MJ/kg ad)</v>
          </cell>
          <cell r="M190" t="str">
            <v>(%db)</v>
          </cell>
          <cell r="N190" t="str">
            <v>(%)</v>
          </cell>
          <cell r="O190" t="str">
            <v>(%ad)</v>
          </cell>
          <cell r="P190" t="str">
            <v>(%ad)</v>
          </cell>
          <cell r="Q190" t="str">
            <v>(%ad)</v>
          </cell>
          <cell r="R190" t="str">
            <v>(%ad)</v>
          </cell>
          <cell r="S190" t="str">
            <v>(MJ/kg ad)</v>
          </cell>
          <cell r="T190" t="str">
            <v>(%db)</v>
          </cell>
        </row>
        <row r="191">
          <cell r="C191" t="str">
            <v>FS</v>
          </cell>
        </row>
        <row r="192">
          <cell r="C192" t="str">
            <v>0FS35F</v>
          </cell>
          <cell r="F192" t="str">
            <v/>
          </cell>
          <cell r="G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  <cell r="N192" t="str">
            <v/>
          </cell>
          <cell r="O192" t="str">
            <v/>
          </cell>
          <cell r="P192" t="str">
            <v/>
          </cell>
          <cell r="Q192" t="str">
            <v/>
          </cell>
          <cell r="R192" t="str">
            <v/>
          </cell>
          <cell r="S192" t="str">
            <v/>
          </cell>
          <cell r="T192" t="str">
            <v/>
          </cell>
          <cell r="U192" t="str">
            <v/>
          </cell>
        </row>
        <row r="193">
          <cell r="C193" t="str">
            <v>0FS35F</v>
          </cell>
          <cell r="E193" t="str">
            <v/>
          </cell>
          <cell r="F193" t="str">
            <v/>
          </cell>
          <cell r="G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  <cell r="N193" t="str">
            <v/>
          </cell>
          <cell r="O193" t="str">
            <v/>
          </cell>
          <cell r="P193" t="str">
            <v/>
          </cell>
          <cell r="Q193" t="str">
            <v/>
          </cell>
          <cell r="R193" t="str">
            <v/>
          </cell>
          <cell r="S193" t="str">
            <v/>
          </cell>
          <cell r="T193" t="str">
            <v/>
          </cell>
          <cell r="U193" t="str">
            <v/>
          </cell>
        </row>
        <row r="194">
          <cell r="C194" t="str">
            <v>0FS35F1</v>
          </cell>
          <cell r="E194" t="str">
            <v/>
          </cell>
          <cell r="F194" t="str">
            <v/>
          </cell>
          <cell r="G194">
            <v>100</v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  <cell r="N194">
            <v>100</v>
          </cell>
          <cell r="O194" t="str">
            <v/>
          </cell>
          <cell r="P194" t="str">
            <v/>
          </cell>
          <cell r="Q194" t="str">
            <v/>
          </cell>
          <cell r="R194" t="str">
            <v/>
          </cell>
          <cell r="S194" t="str">
            <v/>
          </cell>
          <cell r="T194" t="str">
            <v/>
          </cell>
          <cell r="U194" t="str">
            <v/>
          </cell>
        </row>
        <row r="195">
          <cell r="C195" t="str">
            <v>0FS35F2</v>
          </cell>
          <cell r="E195" t="str">
            <v/>
          </cell>
          <cell r="F195" t="str">
            <v/>
          </cell>
          <cell r="G195">
            <v>0</v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  <cell r="N195">
            <v>100</v>
          </cell>
          <cell r="O195" t="str">
            <v/>
          </cell>
          <cell r="P195" t="str">
            <v/>
          </cell>
          <cell r="Q195" t="str">
            <v/>
          </cell>
          <cell r="R195" t="str">
            <v/>
          </cell>
          <cell r="S195" t="str">
            <v/>
          </cell>
          <cell r="T195" t="str">
            <v/>
          </cell>
          <cell r="U195" t="str">
            <v/>
          </cell>
        </row>
        <row r="196">
          <cell r="C196" t="str">
            <v>0FS35F3</v>
          </cell>
          <cell r="E196" t="str">
            <v/>
          </cell>
          <cell r="F196" t="str">
            <v/>
          </cell>
          <cell r="G196">
            <v>0</v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  <cell r="N196">
            <v>100</v>
          </cell>
          <cell r="O196" t="str">
            <v/>
          </cell>
          <cell r="P196" t="str">
            <v/>
          </cell>
          <cell r="Q196" t="str">
            <v/>
          </cell>
          <cell r="R196" t="str">
            <v/>
          </cell>
          <cell r="S196" t="str">
            <v/>
          </cell>
          <cell r="T196" t="str">
            <v/>
          </cell>
          <cell r="U196" t="str">
            <v/>
          </cell>
        </row>
        <row r="197">
          <cell r="C197" t="str">
            <v>0FS35F4</v>
          </cell>
          <cell r="E197" t="str">
            <v/>
          </cell>
          <cell r="F197" t="str">
            <v/>
          </cell>
          <cell r="G197">
            <v>0</v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  <cell r="N197">
            <v>100</v>
          </cell>
          <cell r="O197" t="str">
            <v/>
          </cell>
          <cell r="P197" t="str">
            <v/>
          </cell>
          <cell r="Q197" t="str">
            <v/>
          </cell>
          <cell r="R197" t="str">
            <v/>
          </cell>
          <cell r="S197" t="str">
            <v/>
          </cell>
          <cell r="T197" t="str">
            <v/>
          </cell>
          <cell r="U197" t="str">
            <v/>
          </cell>
        </row>
        <row r="198">
          <cell r="C198" t="str">
            <v>0FS35F5</v>
          </cell>
          <cell r="E198" t="str">
            <v/>
          </cell>
          <cell r="F198" t="str">
            <v/>
          </cell>
          <cell r="G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  <cell r="N198" t="str">
            <v/>
          </cell>
          <cell r="O198" t="str">
            <v/>
          </cell>
          <cell r="P198" t="str">
            <v/>
          </cell>
          <cell r="Q198" t="str">
            <v/>
          </cell>
          <cell r="R198" t="str">
            <v/>
          </cell>
          <cell r="S198" t="str">
            <v/>
          </cell>
          <cell r="T198" t="str">
            <v/>
          </cell>
          <cell r="U198" t="str">
            <v/>
          </cell>
        </row>
        <row r="199">
          <cell r="C199" t="str">
            <v>0FS35F6</v>
          </cell>
          <cell r="E199" t="str">
            <v/>
          </cell>
          <cell r="F199" t="str">
            <v/>
          </cell>
          <cell r="G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  <cell r="N199" t="str">
            <v/>
          </cell>
          <cell r="O199" t="str">
            <v/>
          </cell>
          <cell r="P199" t="str">
            <v/>
          </cell>
          <cell r="Q199" t="str">
            <v/>
          </cell>
          <cell r="R199" t="str">
            <v/>
          </cell>
          <cell r="S199" t="str">
            <v/>
          </cell>
          <cell r="T199" t="str">
            <v/>
          </cell>
          <cell r="U199" t="str">
            <v/>
          </cell>
        </row>
        <row r="201">
          <cell r="E201" t="str">
            <v>Composite Identification</v>
          </cell>
          <cell r="F201" t="str">
            <v xml:space="preserve"> Ply Description</v>
          </cell>
          <cell r="G201" t="str">
            <v>BV Sample Number</v>
          </cell>
          <cell r="H201" t="str">
            <v>Depth From</v>
          </cell>
          <cell r="I201" t="str">
            <v>Depth To</v>
          </cell>
          <cell r="J201" t="str">
            <v>Recovered Thickness</v>
          </cell>
          <cell r="K201" t="str">
            <v>Interval</v>
          </cell>
          <cell r="L201" t="str">
            <v>Sample Type</v>
          </cell>
          <cell r="M201" t="str">
            <v>Initial Mass Tested</v>
          </cell>
          <cell r="O201" t="str">
            <v>Final Mass</v>
          </cell>
          <cell r="P201" t="str">
            <v>Loss / Gain</v>
          </cell>
          <cell r="Q201" t="str">
            <v>Raw Coal Relative Density (calculated)</v>
          </cell>
          <cell r="R201" t="str">
            <v>Raw Coal Moisture (calculated)</v>
          </cell>
          <cell r="S201" t="str">
            <v>Raw Coal Ash (calculated)</v>
          </cell>
          <cell r="T201" t="str">
            <v>Moisture (analysed)</v>
          </cell>
          <cell r="U201" t="str">
            <v>Ash (analysed)</v>
          </cell>
        </row>
        <row r="202">
          <cell r="C202" t="str">
            <v>RC</v>
          </cell>
          <cell r="H202" t="str">
            <v>(m)</v>
          </cell>
          <cell r="I202" t="str">
            <v>(m)</v>
          </cell>
          <cell r="J202" t="str">
            <v>(m)</v>
          </cell>
          <cell r="K202" t="str">
            <v>(m)</v>
          </cell>
          <cell r="M202" t="str">
            <v>(kg)</v>
          </cell>
          <cell r="O202" t="str">
            <v>(kg)</v>
          </cell>
          <cell r="P202" t="str">
            <v>(%)</v>
          </cell>
          <cell r="Q202" t="str">
            <v>(%ad)</v>
          </cell>
          <cell r="R202" t="str">
            <v>(%ad)</v>
          </cell>
          <cell r="S202" t="str">
            <v>(%ad)</v>
          </cell>
          <cell r="T202" t="str">
            <v>(%ad)</v>
          </cell>
          <cell r="U202" t="str">
            <v>(%ad)</v>
          </cell>
        </row>
        <row r="203">
          <cell r="C203" t="str">
            <v>0RC36</v>
          </cell>
          <cell r="E203" t="str">
            <v/>
          </cell>
          <cell r="F203" t="str">
            <v/>
          </cell>
          <cell r="G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e">
            <v>#N/A</v>
          </cell>
          <cell r="O203">
            <v>1E-3</v>
          </cell>
          <cell r="P203" t="e">
            <v>#N/A</v>
          </cell>
          <cell r="Q203" t="str">
            <v/>
          </cell>
          <cell r="R203" t="str">
            <v/>
          </cell>
          <cell r="S203" t="str">
            <v/>
          </cell>
          <cell r="T203" t="str">
            <v/>
          </cell>
          <cell r="U203" t="str">
            <v/>
          </cell>
        </row>
        <row r="205">
          <cell r="E205" t="str">
            <v>Density Fraction</v>
          </cell>
          <cell r="G205" t="str">
            <v>Fractional Analyses</v>
          </cell>
          <cell r="N205" t="str">
            <v>Cumulative Analyses</v>
          </cell>
        </row>
        <row r="206">
          <cell r="G206" t="str">
            <v xml:space="preserve">Mass </v>
          </cell>
          <cell r="H206" t="str">
            <v>Moisture</v>
          </cell>
          <cell r="I206" t="str">
            <v xml:space="preserve">Ash </v>
          </cell>
          <cell r="J206" t="str">
            <v xml:space="preserve">Volatile Matter </v>
          </cell>
          <cell r="K206" t="str">
            <v>Total Sulfur</v>
          </cell>
          <cell r="L206" t="str">
            <v>Calorific Value</v>
          </cell>
          <cell r="M206" t="str">
            <v>Phosphorus In Coal</v>
          </cell>
          <cell r="N206" t="str">
            <v xml:space="preserve">Mass </v>
          </cell>
          <cell r="O206" t="str">
            <v>Moisture</v>
          </cell>
          <cell r="P206" t="str">
            <v>Ash</v>
          </cell>
          <cell r="Q206" t="str">
            <v>Volatile Matter</v>
          </cell>
          <cell r="R206" t="str">
            <v>Total Sulfur</v>
          </cell>
          <cell r="S206" t="str">
            <v>Calorific Value</v>
          </cell>
          <cell r="T206" t="str">
            <v>Phosphorus In Coal</v>
          </cell>
          <cell r="U206" t="str">
            <v>Crucible Swelling Number</v>
          </cell>
        </row>
        <row r="207">
          <cell r="E207" t="str">
            <v>Sinks</v>
          </cell>
          <cell r="F207" t="str">
            <v>Floats</v>
          </cell>
          <cell r="G207" t="str">
            <v>(%)</v>
          </cell>
          <cell r="H207" t="str">
            <v>(%ad)</v>
          </cell>
          <cell r="I207" t="str">
            <v>(%ad)</v>
          </cell>
          <cell r="J207" t="str">
            <v>(%ad)</v>
          </cell>
          <cell r="K207" t="str">
            <v>(%ad)</v>
          </cell>
          <cell r="L207" t="str">
            <v>(MJ/kg ad)</v>
          </cell>
          <cell r="M207" t="str">
            <v>(%db)</v>
          </cell>
          <cell r="N207" t="str">
            <v>(%)</v>
          </cell>
          <cell r="O207" t="str">
            <v>(%ad)</v>
          </cell>
          <cell r="P207" t="str">
            <v>(%ad)</v>
          </cell>
          <cell r="Q207" t="str">
            <v>(%ad)</v>
          </cell>
          <cell r="R207" t="str">
            <v>(%ad)</v>
          </cell>
          <cell r="S207" t="str">
            <v>(MJ/kg ad)</v>
          </cell>
          <cell r="T207" t="str">
            <v>(%db)</v>
          </cell>
        </row>
        <row r="208">
          <cell r="C208" t="str">
            <v>FS</v>
          </cell>
        </row>
        <row r="209">
          <cell r="C209" t="str">
            <v>0FS36F</v>
          </cell>
          <cell r="F209" t="str">
            <v/>
          </cell>
          <cell r="G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  <cell r="N209" t="str">
            <v/>
          </cell>
          <cell r="O209" t="str">
            <v/>
          </cell>
          <cell r="P209" t="str">
            <v/>
          </cell>
          <cell r="Q209" t="str">
            <v/>
          </cell>
          <cell r="R209" t="str">
            <v/>
          </cell>
          <cell r="S209" t="str">
            <v/>
          </cell>
          <cell r="T209" t="str">
            <v/>
          </cell>
          <cell r="U209" t="str">
            <v/>
          </cell>
        </row>
        <row r="210">
          <cell r="C210" t="str">
            <v>0FS36F</v>
          </cell>
          <cell r="E210" t="str">
            <v/>
          </cell>
          <cell r="F210" t="str">
            <v/>
          </cell>
          <cell r="G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  <cell r="N210" t="str">
            <v/>
          </cell>
          <cell r="O210" t="str">
            <v/>
          </cell>
          <cell r="P210" t="str">
            <v/>
          </cell>
          <cell r="Q210" t="str">
            <v/>
          </cell>
          <cell r="R210" t="str">
            <v/>
          </cell>
          <cell r="S210" t="str">
            <v/>
          </cell>
          <cell r="T210" t="str">
            <v/>
          </cell>
          <cell r="U210" t="str">
            <v/>
          </cell>
        </row>
        <row r="211">
          <cell r="C211" t="str">
            <v>0FS36F1</v>
          </cell>
          <cell r="E211" t="str">
            <v/>
          </cell>
          <cell r="F211" t="str">
            <v/>
          </cell>
          <cell r="G211">
            <v>100</v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  <cell r="N211">
            <v>100</v>
          </cell>
          <cell r="O211" t="str">
            <v/>
          </cell>
          <cell r="P211" t="str">
            <v/>
          </cell>
          <cell r="Q211" t="str">
            <v/>
          </cell>
          <cell r="R211" t="str">
            <v/>
          </cell>
          <cell r="S211" t="str">
            <v/>
          </cell>
          <cell r="T211" t="str">
            <v/>
          </cell>
          <cell r="U211" t="str">
            <v/>
          </cell>
        </row>
        <row r="212">
          <cell r="C212" t="str">
            <v>0FS36F2</v>
          </cell>
          <cell r="E212" t="str">
            <v/>
          </cell>
          <cell r="F212" t="str">
            <v/>
          </cell>
          <cell r="G212">
            <v>0</v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  <cell r="N212">
            <v>100</v>
          </cell>
          <cell r="O212" t="str">
            <v/>
          </cell>
          <cell r="P212" t="str">
            <v/>
          </cell>
          <cell r="Q212" t="str">
            <v/>
          </cell>
          <cell r="R212" t="str">
            <v/>
          </cell>
          <cell r="S212" t="str">
            <v/>
          </cell>
          <cell r="T212" t="str">
            <v/>
          </cell>
          <cell r="U212" t="str">
            <v/>
          </cell>
        </row>
        <row r="213">
          <cell r="C213" t="str">
            <v>0FS36F3</v>
          </cell>
          <cell r="E213" t="str">
            <v/>
          </cell>
          <cell r="F213" t="str">
            <v/>
          </cell>
          <cell r="G213">
            <v>0</v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  <cell r="N213">
            <v>100</v>
          </cell>
          <cell r="O213" t="str">
            <v/>
          </cell>
          <cell r="P213" t="str">
            <v/>
          </cell>
          <cell r="Q213" t="str">
            <v/>
          </cell>
          <cell r="R213" t="str">
            <v/>
          </cell>
          <cell r="S213" t="str">
            <v/>
          </cell>
          <cell r="T213" t="str">
            <v/>
          </cell>
          <cell r="U213" t="str">
            <v/>
          </cell>
        </row>
        <row r="214">
          <cell r="C214" t="str">
            <v>0FS36F4</v>
          </cell>
          <cell r="E214" t="str">
            <v/>
          </cell>
          <cell r="F214" t="str">
            <v/>
          </cell>
          <cell r="G214">
            <v>0</v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  <cell r="N214">
            <v>100</v>
          </cell>
          <cell r="O214" t="str">
            <v/>
          </cell>
          <cell r="P214" t="str">
            <v/>
          </cell>
          <cell r="Q214" t="str">
            <v/>
          </cell>
          <cell r="R214" t="str">
            <v/>
          </cell>
          <cell r="S214" t="str">
            <v/>
          </cell>
          <cell r="T214" t="str">
            <v/>
          </cell>
          <cell r="U214" t="str">
            <v/>
          </cell>
        </row>
        <row r="215">
          <cell r="C215" t="str">
            <v>0FS36F5</v>
          </cell>
          <cell r="E215" t="str">
            <v/>
          </cell>
          <cell r="F215" t="str">
            <v/>
          </cell>
          <cell r="G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  <cell r="N215" t="str">
            <v/>
          </cell>
          <cell r="O215" t="str">
            <v/>
          </cell>
          <cell r="P215" t="str">
            <v/>
          </cell>
          <cell r="Q215" t="str">
            <v/>
          </cell>
          <cell r="R215" t="str">
            <v/>
          </cell>
          <cell r="S215" t="str">
            <v/>
          </cell>
          <cell r="T215" t="str">
            <v/>
          </cell>
          <cell r="U215" t="str">
            <v/>
          </cell>
        </row>
        <row r="216">
          <cell r="C216" t="str">
            <v>0FS36F6</v>
          </cell>
          <cell r="E216" t="str">
            <v/>
          </cell>
          <cell r="F216" t="str">
            <v/>
          </cell>
          <cell r="G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  <cell r="N216" t="str">
            <v/>
          </cell>
          <cell r="O216" t="str">
            <v/>
          </cell>
          <cell r="P216" t="str">
            <v/>
          </cell>
          <cell r="Q216" t="str">
            <v/>
          </cell>
          <cell r="R216" t="str">
            <v/>
          </cell>
          <cell r="S216" t="str">
            <v/>
          </cell>
          <cell r="T216" t="str">
            <v/>
          </cell>
          <cell r="U216" t="str">
            <v/>
          </cell>
        </row>
      </sheetData>
      <sheetData sheetId="43" refreshError="1"/>
      <sheetData sheetId="44" refreshError="1"/>
      <sheetData sheetId="4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L105027"/>
      <sheetName val="Phos Data Combined"/>
      <sheetName val="PHOS data transfer"/>
    </sheetNames>
    <sheetDataSet>
      <sheetData sheetId="0" refreshError="1"/>
      <sheetData sheetId="1" refreshError="1"/>
      <sheetData sheetId="2">
        <row r="1">
          <cell r="A1" t="str">
            <v>L105027</v>
          </cell>
        </row>
        <row r="2">
          <cell r="A2" t="str">
            <v xml:space="preserve">IDENT             </v>
          </cell>
          <cell r="B2" t="str">
            <v xml:space="preserve">Description                                               </v>
          </cell>
          <cell r="C2" t="str">
            <v xml:space="preserve">P in Coal           </v>
          </cell>
          <cell r="D2" t="str">
            <v xml:space="preserve">Ash                 </v>
          </cell>
        </row>
        <row r="3">
          <cell r="A3" t="str">
            <v xml:space="preserve">UNITS             </v>
          </cell>
          <cell r="B3" t="str">
            <v xml:space="preserve">                                                          </v>
          </cell>
          <cell r="C3" t="str">
            <v xml:space="preserve">db %                </v>
          </cell>
          <cell r="D3" t="str">
            <v xml:space="preserve">%                   </v>
          </cell>
        </row>
        <row r="4">
          <cell r="A4" t="str">
            <v xml:space="preserve">SCHEME            </v>
          </cell>
          <cell r="B4" t="str">
            <v xml:space="preserve">                                                          </v>
          </cell>
          <cell r="C4" t="str">
            <v xml:space="preserve">NQ0940              </v>
          </cell>
          <cell r="D4" t="str">
            <v xml:space="preserve">NQ0940              </v>
          </cell>
        </row>
        <row r="5">
          <cell r="A5" t="str">
            <v xml:space="preserve">DETECTION LIMIT   </v>
          </cell>
          <cell r="B5" t="str">
            <v xml:space="preserve">                                                          </v>
          </cell>
          <cell r="C5">
            <v>1E-3</v>
          </cell>
          <cell r="D5">
            <v>0</v>
          </cell>
          <cell r="H5" t="str">
            <v>this is just an example</v>
          </cell>
        </row>
        <row r="6">
          <cell r="A6" t="str">
            <v>85015104  1638548</v>
          </cell>
          <cell r="B6" t="str">
            <v xml:space="preserve">                                                            </v>
          </cell>
          <cell r="C6">
            <v>0.01</v>
          </cell>
          <cell r="D6">
            <v>1.65</v>
          </cell>
        </row>
        <row r="7">
          <cell r="A7" t="str">
            <v>85015104  1638549</v>
          </cell>
          <cell r="B7" t="str">
            <v xml:space="preserve">                                                            </v>
          </cell>
          <cell r="C7">
            <v>0.03</v>
          </cell>
          <cell r="D7">
            <v>7.22</v>
          </cell>
        </row>
        <row r="8">
          <cell r="A8" t="str">
            <v>85015104  1638550</v>
          </cell>
          <cell r="B8" t="str">
            <v xml:space="preserve">                                                            </v>
          </cell>
          <cell r="C8">
            <v>5.0999999999999997E-2</v>
          </cell>
          <cell r="D8">
            <v>13.43</v>
          </cell>
        </row>
        <row r="9">
          <cell r="A9" t="str">
            <v>85015104  1638551</v>
          </cell>
          <cell r="B9" t="str">
            <v xml:space="preserve">                                                            </v>
          </cell>
          <cell r="C9">
            <v>6.8000000000000005E-2</v>
          </cell>
          <cell r="D9">
            <v>18.510000000000002</v>
          </cell>
        </row>
        <row r="10">
          <cell r="A10" t="str">
            <v>85015104  1638552</v>
          </cell>
          <cell r="B10" t="str">
            <v xml:space="preserve">                                                            </v>
          </cell>
          <cell r="C10">
            <v>8.4000000000000005E-2</v>
          </cell>
          <cell r="D10">
            <v>23.84</v>
          </cell>
        </row>
        <row r="11">
          <cell r="A11" t="str">
            <v>85015104  1638553</v>
          </cell>
          <cell r="B11" t="str">
            <v xml:space="preserve">                                                            </v>
          </cell>
          <cell r="C11">
            <v>0.11</v>
          </cell>
          <cell r="D11">
            <v>31.18</v>
          </cell>
        </row>
        <row r="12">
          <cell r="A12" t="str">
            <v>85015104  1638554</v>
          </cell>
          <cell r="B12" t="str">
            <v xml:space="preserve">                                                            </v>
          </cell>
          <cell r="C12">
            <v>0.13500000000000001</v>
          </cell>
          <cell r="D12">
            <v>40.72</v>
          </cell>
        </row>
        <row r="13">
          <cell r="A13" t="str">
            <v>85015104  1638555</v>
          </cell>
          <cell r="B13" t="str">
            <v xml:space="preserve">                                                            </v>
          </cell>
          <cell r="C13">
            <v>0.14699999999999999</v>
          </cell>
          <cell r="D13">
            <v>47.21</v>
          </cell>
        </row>
        <row r="14">
          <cell r="A14" t="str">
            <v>85015104  1638556</v>
          </cell>
          <cell r="B14" t="str">
            <v xml:space="preserve">                                                            </v>
          </cell>
          <cell r="C14">
            <v>0.16</v>
          </cell>
          <cell r="D14">
            <v>53.72</v>
          </cell>
        </row>
        <row r="15">
          <cell r="A15" t="str">
            <v>85015104  1638557</v>
          </cell>
          <cell r="B15" t="str">
            <v xml:space="preserve">                                                            </v>
          </cell>
          <cell r="C15">
            <v>0.159</v>
          </cell>
          <cell r="D15">
            <v>61.44</v>
          </cell>
        </row>
        <row r="16">
          <cell r="A16" t="str">
            <v>85015104  1638558</v>
          </cell>
          <cell r="B16" t="str">
            <v xml:space="preserve">                                                            </v>
          </cell>
          <cell r="C16">
            <v>0.104</v>
          </cell>
          <cell r="D16">
            <v>69.849999999999994</v>
          </cell>
        </row>
        <row r="17">
          <cell r="A17" t="str">
            <v>85015104  1638559</v>
          </cell>
          <cell r="B17" t="str">
            <v xml:space="preserve">                                                            </v>
          </cell>
          <cell r="C17">
            <v>0.14599999999999999</v>
          </cell>
          <cell r="D17">
            <v>75.650000000000006</v>
          </cell>
        </row>
        <row r="21">
          <cell r="A21" t="str">
            <v>85015104  1638561</v>
          </cell>
          <cell r="C21">
            <v>0.01</v>
          </cell>
          <cell r="D21">
            <v>1.65</v>
          </cell>
        </row>
        <row r="22">
          <cell r="A22" t="str">
            <v>85015104  1638562</v>
          </cell>
          <cell r="C22">
            <v>0.03</v>
          </cell>
          <cell r="D22">
            <v>7.22</v>
          </cell>
        </row>
        <row r="23">
          <cell r="A23" t="str">
            <v>85015104  1638563</v>
          </cell>
          <cell r="C23">
            <v>5.0999999999999997E-2</v>
          </cell>
          <cell r="D23">
            <v>13.43</v>
          </cell>
        </row>
        <row r="24">
          <cell r="A24" t="str">
            <v>85015104  1638564</v>
          </cell>
          <cell r="C24">
            <v>6.8000000000000005E-2</v>
          </cell>
          <cell r="D24">
            <v>18.510000000000002</v>
          </cell>
        </row>
        <row r="25">
          <cell r="A25" t="str">
            <v>85015104  1638565</v>
          </cell>
          <cell r="C25">
            <v>8.4000000000000005E-2</v>
          </cell>
          <cell r="D25">
            <v>23.84</v>
          </cell>
        </row>
        <row r="26">
          <cell r="A26" t="str">
            <v>85015104  1638566</v>
          </cell>
          <cell r="C26">
            <v>0.11</v>
          </cell>
          <cell r="D26">
            <v>31.18</v>
          </cell>
        </row>
        <row r="27">
          <cell r="A27" t="str">
            <v>85015104  1638567</v>
          </cell>
          <cell r="C27">
            <v>0.13500000000000001</v>
          </cell>
          <cell r="D27">
            <v>40.72</v>
          </cell>
        </row>
        <row r="28">
          <cell r="A28" t="str">
            <v>85015104  1638568</v>
          </cell>
          <cell r="C28">
            <v>0.14699999999999999</v>
          </cell>
          <cell r="D28">
            <v>47.21</v>
          </cell>
        </row>
        <row r="29">
          <cell r="A29" t="str">
            <v>85015104  1638569</v>
          </cell>
          <cell r="C29">
            <v>0.16</v>
          </cell>
          <cell r="D29">
            <v>53.72</v>
          </cell>
        </row>
        <row r="30">
          <cell r="A30" t="str">
            <v>85015104  1638570</v>
          </cell>
          <cell r="C30">
            <v>0.159</v>
          </cell>
          <cell r="D30">
            <v>61.44</v>
          </cell>
        </row>
        <row r="31">
          <cell r="A31" t="str">
            <v>85015104  1638571</v>
          </cell>
          <cell r="C31">
            <v>0.104</v>
          </cell>
          <cell r="D31">
            <v>69.849999999999994</v>
          </cell>
        </row>
        <row r="32">
          <cell r="A32" t="str">
            <v>85015104  1638572</v>
          </cell>
          <cell r="C32">
            <v>0.14599999999999999</v>
          </cell>
          <cell r="D32">
            <v>75.650000000000006</v>
          </cell>
        </row>
        <row r="35">
          <cell r="A35" t="str">
            <v>85015104  1638574</v>
          </cell>
          <cell r="C35">
            <v>0.01</v>
          </cell>
          <cell r="D35">
            <v>1.65</v>
          </cell>
        </row>
        <row r="36">
          <cell r="A36" t="str">
            <v>85015104  1638575</v>
          </cell>
          <cell r="C36">
            <v>0.03</v>
          </cell>
          <cell r="D36">
            <v>7.22</v>
          </cell>
        </row>
        <row r="37">
          <cell r="A37" t="str">
            <v>85015104  1638576</v>
          </cell>
          <cell r="C37">
            <v>5.0999999999999997E-2</v>
          </cell>
          <cell r="D37">
            <v>13.43</v>
          </cell>
        </row>
        <row r="38">
          <cell r="A38" t="str">
            <v>85015104  1638577</v>
          </cell>
          <cell r="C38">
            <v>6.8000000000000005E-2</v>
          </cell>
          <cell r="D38">
            <v>18.510000000000002</v>
          </cell>
        </row>
        <row r="39">
          <cell r="A39" t="str">
            <v>85015104  1638578</v>
          </cell>
          <cell r="C39">
            <v>8.4000000000000005E-2</v>
          </cell>
          <cell r="D39">
            <v>23.84</v>
          </cell>
        </row>
        <row r="40">
          <cell r="A40" t="str">
            <v>85015104  1638579</v>
          </cell>
          <cell r="C40">
            <v>0.11</v>
          </cell>
          <cell r="D40">
            <v>31.18</v>
          </cell>
        </row>
        <row r="41">
          <cell r="A41" t="str">
            <v>85015104  1638580</v>
          </cell>
          <cell r="C41">
            <v>0.13500000000000001</v>
          </cell>
          <cell r="D41">
            <v>40.72</v>
          </cell>
        </row>
        <row r="42">
          <cell r="A42" t="str">
            <v>85015104  1638581</v>
          </cell>
          <cell r="C42">
            <v>0.14699999999999999</v>
          </cell>
          <cell r="D42">
            <v>47.21</v>
          </cell>
        </row>
        <row r="43">
          <cell r="A43" t="str">
            <v>85015104  1638582</v>
          </cell>
          <cell r="C43">
            <v>0.16</v>
          </cell>
          <cell r="D43">
            <v>53.72</v>
          </cell>
        </row>
        <row r="44">
          <cell r="A44" t="str">
            <v>85015104  1638583</v>
          </cell>
          <cell r="C44">
            <v>0.159</v>
          </cell>
          <cell r="D44">
            <v>61.44</v>
          </cell>
        </row>
        <row r="45">
          <cell r="A45" t="str">
            <v>85015104  1638584</v>
          </cell>
          <cell r="C45">
            <v>0.104</v>
          </cell>
          <cell r="D45">
            <v>69.849999999999994</v>
          </cell>
        </row>
        <row r="46">
          <cell r="A46" t="str">
            <v>85015104  1638585</v>
          </cell>
          <cell r="C46">
            <v>0.14599999999999999</v>
          </cell>
          <cell r="D46">
            <v>75.650000000000006</v>
          </cell>
        </row>
        <row r="50">
          <cell r="A50" t="str">
            <v>85015104  1638587</v>
          </cell>
          <cell r="C50">
            <v>0.01</v>
          </cell>
          <cell r="D50">
            <v>1.65</v>
          </cell>
        </row>
        <row r="51">
          <cell r="A51" t="str">
            <v>85015104  1638588</v>
          </cell>
          <cell r="C51">
            <v>0.03</v>
          </cell>
          <cell r="D51">
            <v>7.22</v>
          </cell>
        </row>
        <row r="52">
          <cell r="A52" t="str">
            <v>85015104  1638589</v>
          </cell>
          <cell r="C52">
            <v>5.0999999999999997E-2</v>
          </cell>
          <cell r="D52">
            <v>13.43</v>
          </cell>
        </row>
        <row r="53">
          <cell r="A53" t="str">
            <v>85015104  1638590</v>
          </cell>
          <cell r="C53">
            <v>6.8000000000000005E-2</v>
          </cell>
          <cell r="D53">
            <v>18.510000000000002</v>
          </cell>
        </row>
        <row r="54">
          <cell r="A54" t="str">
            <v>85015104  1638591</v>
          </cell>
          <cell r="C54">
            <v>8.4000000000000005E-2</v>
          </cell>
          <cell r="D54">
            <v>23.84</v>
          </cell>
        </row>
        <row r="55">
          <cell r="A55" t="str">
            <v>85015104  1638592</v>
          </cell>
          <cell r="C55">
            <v>0.11</v>
          </cell>
          <cell r="D55">
            <v>31.18</v>
          </cell>
        </row>
        <row r="56">
          <cell r="A56" t="str">
            <v>85015104  1638593</v>
          </cell>
          <cell r="C56">
            <v>0.13500000000000001</v>
          </cell>
          <cell r="D56">
            <v>40.72</v>
          </cell>
        </row>
        <row r="57">
          <cell r="A57" t="str">
            <v>85015104  1638594</v>
          </cell>
          <cell r="C57">
            <v>0.14699999999999999</v>
          </cell>
          <cell r="D57">
            <v>47.21</v>
          </cell>
        </row>
        <row r="58">
          <cell r="A58" t="str">
            <v>85015104  1638595</v>
          </cell>
          <cell r="C58">
            <v>0.16</v>
          </cell>
          <cell r="D58">
            <v>53.72</v>
          </cell>
        </row>
        <row r="59">
          <cell r="A59" t="str">
            <v>85015104  1638596</v>
          </cell>
          <cell r="C59">
            <v>0.159</v>
          </cell>
          <cell r="D59">
            <v>61.44</v>
          </cell>
        </row>
        <row r="60">
          <cell r="A60" t="str">
            <v>85015104  1638597</v>
          </cell>
          <cell r="C60">
            <v>0.104</v>
          </cell>
          <cell r="D60">
            <v>69.849999999999994</v>
          </cell>
        </row>
        <row r="61">
          <cell r="A61" t="str">
            <v>85015104  1638598</v>
          </cell>
          <cell r="C61">
            <v>0.14599999999999999</v>
          </cell>
          <cell r="D61">
            <v>75.650000000000006</v>
          </cell>
        </row>
        <row r="65">
          <cell r="A65" t="str">
            <v>85015104  1638600</v>
          </cell>
          <cell r="C65">
            <v>0.01</v>
          </cell>
          <cell r="D65">
            <v>1.65</v>
          </cell>
        </row>
        <row r="66">
          <cell r="A66" t="str">
            <v>85015104  1638601</v>
          </cell>
          <cell r="C66">
            <v>0.03</v>
          </cell>
          <cell r="D66">
            <v>7.22</v>
          </cell>
        </row>
        <row r="67">
          <cell r="A67" t="str">
            <v>85015104  1638602</v>
          </cell>
          <cell r="C67">
            <v>5.0999999999999997E-2</v>
          </cell>
          <cell r="D67">
            <v>13.43</v>
          </cell>
        </row>
        <row r="68">
          <cell r="A68" t="str">
            <v>85015104  1638603</v>
          </cell>
          <cell r="C68">
            <v>6.8000000000000005E-2</v>
          </cell>
          <cell r="D68">
            <v>18.510000000000002</v>
          </cell>
        </row>
        <row r="69">
          <cell r="A69" t="str">
            <v>85015104  1638604</v>
          </cell>
          <cell r="C69">
            <v>8.4000000000000005E-2</v>
          </cell>
          <cell r="D69">
            <v>23.84</v>
          </cell>
        </row>
        <row r="70">
          <cell r="A70" t="str">
            <v>85015104  1638605</v>
          </cell>
          <cell r="C70">
            <v>0.11</v>
          </cell>
          <cell r="D70">
            <v>31.18</v>
          </cell>
        </row>
        <row r="71">
          <cell r="A71" t="str">
            <v>85015104  1638606</v>
          </cell>
          <cell r="C71">
            <v>0.13500000000000001</v>
          </cell>
          <cell r="D71">
            <v>40.72</v>
          </cell>
        </row>
        <row r="72">
          <cell r="A72" t="str">
            <v>85015104  1638607</v>
          </cell>
          <cell r="C72">
            <v>0.14699999999999999</v>
          </cell>
          <cell r="D72">
            <v>47.21</v>
          </cell>
        </row>
        <row r="73">
          <cell r="A73" t="str">
            <v>85015104  1638608</v>
          </cell>
          <cell r="C73">
            <v>0.16</v>
          </cell>
          <cell r="D73">
            <v>53.72</v>
          </cell>
        </row>
        <row r="74">
          <cell r="A74" t="str">
            <v>85015104  1638609</v>
          </cell>
          <cell r="C74">
            <v>0.159</v>
          </cell>
          <cell r="D74">
            <v>61.44</v>
          </cell>
        </row>
        <row r="75">
          <cell r="A75" t="str">
            <v>85015104  1638610</v>
          </cell>
          <cell r="C75">
            <v>0.104</v>
          </cell>
          <cell r="D75">
            <v>69.849999999999994</v>
          </cell>
        </row>
        <row r="76">
          <cell r="A76" t="str">
            <v>85015104  1638611</v>
          </cell>
          <cell r="C76">
            <v>0.14599999999999999</v>
          </cell>
          <cell r="D76">
            <v>75.650000000000006</v>
          </cell>
        </row>
        <row r="79">
          <cell r="A79" t="str">
            <v>85015104  1638613</v>
          </cell>
          <cell r="C79">
            <v>0.01</v>
          </cell>
          <cell r="D79">
            <v>1.65</v>
          </cell>
        </row>
        <row r="80">
          <cell r="A80" t="str">
            <v>85015104  1638614</v>
          </cell>
          <cell r="C80">
            <v>0.03</v>
          </cell>
          <cell r="D80">
            <v>7.22</v>
          </cell>
        </row>
        <row r="81">
          <cell r="A81" t="str">
            <v>85015104  1638615</v>
          </cell>
          <cell r="C81">
            <v>5.0999999999999997E-2</v>
          </cell>
          <cell r="D81">
            <v>13.43</v>
          </cell>
        </row>
        <row r="82">
          <cell r="A82" t="str">
            <v>85015104  1638616</v>
          </cell>
          <cell r="C82">
            <v>6.8000000000000005E-2</v>
          </cell>
          <cell r="D82">
            <v>18.510000000000002</v>
          </cell>
        </row>
        <row r="83">
          <cell r="A83" t="str">
            <v>85015104  1638617</v>
          </cell>
          <cell r="C83">
            <v>8.4000000000000005E-2</v>
          </cell>
          <cell r="D83">
            <v>23.84</v>
          </cell>
        </row>
        <row r="84">
          <cell r="A84" t="str">
            <v>85015104  1638618</v>
          </cell>
          <cell r="C84">
            <v>0.11</v>
          </cell>
          <cell r="D84">
            <v>31.18</v>
          </cell>
        </row>
        <row r="85">
          <cell r="A85" t="str">
            <v>85015104  1638619</v>
          </cell>
          <cell r="C85">
            <v>0.13500000000000001</v>
          </cell>
          <cell r="D85">
            <v>40.72</v>
          </cell>
        </row>
        <row r="86">
          <cell r="A86" t="str">
            <v>85015104  1638620</v>
          </cell>
          <cell r="C86">
            <v>0.14699999999999999</v>
          </cell>
          <cell r="D86">
            <v>47.21</v>
          </cell>
        </row>
        <row r="87">
          <cell r="A87" t="str">
            <v>85015104  1638621</v>
          </cell>
          <cell r="C87">
            <v>0.16</v>
          </cell>
          <cell r="D87">
            <v>53.72</v>
          </cell>
        </row>
        <row r="88">
          <cell r="A88" t="str">
            <v>85015104  1638622</v>
          </cell>
          <cell r="C88">
            <v>0.159</v>
          </cell>
          <cell r="D88">
            <v>61.44</v>
          </cell>
        </row>
        <row r="89">
          <cell r="A89" t="str">
            <v>85015104  1638623</v>
          </cell>
          <cell r="C89">
            <v>0.104</v>
          </cell>
          <cell r="D89">
            <v>69.849999999999994</v>
          </cell>
        </row>
        <row r="90">
          <cell r="A90" t="str">
            <v>85015104  1638624</v>
          </cell>
          <cell r="C90">
            <v>0.14599999999999999</v>
          </cell>
          <cell r="D90">
            <v>75.650000000000006</v>
          </cell>
        </row>
        <row r="93">
          <cell r="A93" t="str">
            <v>85015104  1638626</v>
          </cell>
          <cell r="C93">
            <v>0.01</v>
          </cell>
          <cell r="D93">
            <v>1.65</v>
          </cell>
        </row>
        <row r="94">
          <cell r="A94" t="str">
            <v>85015104  1638627</v>
          </cell>
          <cell r="C94">
            <v>0.03</v>
          </cell>
          <cell r="D94">
            <v>7.22</v>
          </cell>
        </row>
        <row r="95">
          <cell r="A95" t="str">
            <v>85015104  1638628</v>
          </cell>
          <cell r="C95">
            <v>5.0999999999999997E-2</v>
          </cell>
          <cell r="D95">
            <v>13.43</v>
          </cell>
        </row>
        <row r="96">
          <cell r="A96" t="str">
            <v>85015104  1638629</v>
          </cell>
          <cell r="C96">
            <v>6.8000000000000005E-2</v>
          </cell>
          <cell r="D96">
            <v>18.510000000000002</v>
          </cell>
        </row>
        <row r="97">
          <cell r="A97" t="str">
            <v>85015104  1638630</v>
          </cell>
          <cell r="C97">
            <v>8.4000000000000005E-2</v>
          </cell>
          <cell r="D97">
            <v>23.84</v>
          </cell>
        </row>
        <row r="98">
          <cell r="A98" t="str">
            <v>85015104  1638631</v>
          </cell>
          <cell r="C98">
            <v>0.11</v>
          </cell>
          <cell r="D98">
            <v>31.18</v>
          </cell>
        </row>
        <row r="99">
          <cell r="A99" t="str">
            <v>85015104  1638632</v>
          </cell>
          <cell r="C99">
            <v>0.13500000000000001</v>
          </cell>
          <cell r="D99">
            <v>40.72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73"/>
  <sheetViews>
    <sheetView tabSelected="1" topLeftCell="A19" zoomScale="80" zoomScaleNormal="80" workbookViewId="0">
      <selection activeCell="G13" sqref="G13"/>
    </sheetView>
  </sheetViews>
  <sheetFormatPr defaultRowHeight="12.75" x14ac:dyDescent="0.2"/>
  <cols>
    <col min="1" max="3" width="17.42578125" style="8" customWidth="1"/>
    <col min="4" max="4" width="13.42578125" style="8" customWidth="1"/>
    <col min="5" max="5" width="31.42578125" style="8" customWidth="1"/>
    <col min="6" max="6" width="18.5703125" style="8" customWidth="1"/>
    <col min="7" max="7" width="26.140625" style="8" customWidth="1"/>
    <col min="8" max="8" width="22.140625" style="8" customWidth="1"/>
    <col min="9" max="9" width="28.42578125" style="8" customWidth="1"/>
    <col min="10" max="10" width="12.5703125" style="8" bestFit="1" customWidth="1"/>
    <col min="11" max="15" width="14" style="8" customWidth="1"/>
    <col min="16" max="16" width="17.140625" style="8" customWidth="1"/>
    <col min="17" max="17" width="14" style="8" customWidth="1"/>
    <col min="18" max="18" width="14.5703125" style="8" customWidth="1"/>
    <col min="19" max="16384" width="9.140625" style="8"/>
  </cols>
  <sheetData>
    <row r="1" spans="1:21" ht="19.5" thickBot="1" x14ac:dyDescent="0.35">
      <c r="A1" s="1"/>
      <c r="B1" s="2"/>
      <c r="C1" s="2"/>
      <c r="D1" s="2"/>
      <c r="E1" s="3" t="s">
        <v>0</v>
      </c>
      <c r="F1" s="2"/>
      <c r="G1" s="2"/>
      <c r="H1" s="2"/>
      <c r="I1" s="2"/>
      <c r="J1" s="4"/>
      <c r="K1" s="5"/>
      <c r="L1" s="6"/>
      <c r="M1" s="6"/>
      <c r="N1" s="6"/>
      <c r="O1" s="6"/>
      <c r="P1" s="7"/>
      <c r="Q1" s="7"/>
      <c r="R1" s="7"/>
    </row>
    <row r="2" spans="1:21" ht="19.5" thickBot="1" x14ac:dyDescent="0.35">
      <c r="A2" s="9" t="s">
        <v>1</v>
      </c>
      <c r="B2" s="10">
        <v>44805</v>
      </c>
      <c r="C2" s="2"/>
      <c r="D2" s="2"/>
      <c r="E2" s="11"/>
      <c r="F2" s="11"/>
      <c r="G2" s="11"/>
      <c r="H2" s="11"/>
      <c r="I2" s="11"/>
      <c r="J2" s="12" t="s">
        <v>2</v>
      </c>
      <c r="K2" s="13"/>
      <c r="L2" s="11"/>
      <c r="M2" s="157" t="s">
        <v>3</v>
      </c>
      <c r="N2" s="157"/>
      <c r="O2" s="14" t="s">
        <v>4</v>
      </c>
      <c r="P2" s="158" t="s">
        <v>5</v>
      </c>
      <c r="Q2" s="159"/>
      <c r="R2" s="3"/>
    </row>
    <row r="3" spans="1:21" ht="19.5" thickBot="1" x14ac:dyDescent="0.35">
      <c r="A3" s="12" t="s">
        <v>6</v>
      </c>
      <c r="B3" s="12" t="s">
        <v>7</v>
      </c>
      <c r="C3" s="12" t="s">
        <v>8</v>
      </c>
      <c r="D3" s="12" t="s">
        <v>9</v>
      </c>
      <c r="E3" s="12" t="s">
        <v>10</v>
      </c>
      <c r="F3" s="12" t="s">
        <v>11</v>
      </c>
      <c r="G3" s="12" t="s">
        <v>12</v>
      </c>
      <c r="H3" s="12" t="s">
        <v>13</v>
      </c>
      <c r="I3" s="12" t="s">
        <v>14</v>
      </c>
      <c r="J3" s="12" t="s">
        <v>15</v>
      </c>
      <c r="K3" s="15" t="s">
        <v>16</v>
      </c>
      <c r="L3" s="12" t="s">
        <v>17</v>
      </c>
      <c r="M3" s="16" t="s">
        <v>18</v>
      </c>
      <c r="N3" s="16" t="s">
        <v>19</v>
      </c>
      <c r="O3" s="16" t="s">
        <v>15</v>
      </c>
      <c r="P3" s="158" t="s">
        <v>20</v>
      </c>
      <c r="Q3" s="159"/>
      <c r="R3" s="12" t="s">
        <v>21</v>
      </c>
    </row>
    <row r="4" spans="1:21" ht="18.75" x14ac:dyDescent="0.2">
      <c r="A4" s="17" t="s">
        <v>22</v>
      </c>
      <c r="B4" s="17"/>
      <c r="C4" s="17"/>
      <c r="D4" s="17"/>
      <c r="E4" s="18"/>
      <c r="F4" s="19"/>
      <c r="G4" s="18"/>
      <c r="H4" s="18"/>
      <c r="I4" s="18"/>
      <c r="J4" s="20"/>
      <c r="K4" s="21"/>
      <c r="L4" s="17"/>
      <c r="M4" s="22"/>
      <c r="N4" s="22"/>
      <c r="O4" s="22"/>
      <c r="P4" s="23"/>
      <c r="Q4" s="24"/>
      <c r="R4" s="25"/>
    </row>
    <row r="5" spans="1:21" s="40" customFormat="1" ht="18.75" x14ac:dyDescent="0.2">
      <c r="A5" s="26" t="s">
        <v>23</v>
      </c>
      <c r="B5" s="26">
        <v>44805</v>
      </c>
      <c r="C5" s="26">
        <v>44805</v>
      </c>
      <c r="D5" s="27">
        <v>0.23819444444444446</v>
      </c>
      <c r="E5" s="28" t="s">
        <v>24</v>
      </c>
      <c r="F5" s="29" t="s">
        <v>25</v>
      </c>
      <c r="G5" s="29" t="s">
        <v>26</v>
      </c>
      <c r="H5" s="30" t="s">
        <v>27</v>
      </c>
      <c r="I5" s="31" t="s">
        <v>28</v>
      </c>
      <c r="J5" s="32">
        <v>80334</v>
      </c>
      <c r="K5" s="33"/>
      <c r="L5" s="26" t="s">
        <v>29</v>
      </c>
      <c r="M5" s="34">
        <v>72000</v>
      </c>
      <c r="N5" s="34">
        <v>88000</v>
      </c>
      <c r="O5" s="34">
        <v>80330</v>
      </c>
      <c r="P5" s="35"/>
      <c r="Q5" s="36"/>
      <c r="R5" s="37" t="s">
        <v>30</v>
      </c>
      <c r="S5" s="38"/>
      <c r="T5" s="39"/>
    </row>
    <row r="6" spans="1:21" s="40" customFormat="1" ht="18.75" x14ac:dyDescent="0.2">
      <c r="A6" s="26" t="s">
        <v>31</v>
      </c>
      <c r="B6" s="26">
        <v>44805</v>
      </c>
      <c r="C6" s="26">
        <v>44806</v>
      </c>
      <c r="D6" s="27">
        <v>0.62152777777777779</v>
      </c>
      <c r="E6" s="28" t="s">
        <v>32</v>
      </c>
      <c r="F6" s="29" t="s">
        <v>33</v>
      </c>
      <c r="G6" s="29" t="s">
        <v>34</v>
      </c>
      <c r="H6" s="30" t="s">
        <v>35</v>
      </c>
      <c r="I6" s="31" t="s">
        <v>36</v>
      </c>
      <c r="J6" s="32">
        <v>94600</v>
      </c>
      <c r="K6" s="33"/>
      <c r="L6" s="41" t="s">
        <v>37</v>
      </c>
      <c r="M6" s="34">
        <v>67000</v>
      </c>
      <c r="N6" s="34">
        <v>86000</v>
      </c>
      <c r="O6" s="34"/>
      <c r="P6" s="35"/>
      <c r="Q6" s="36"/>
      <c r="R6" s="37" t="s">
        <v>36</v>
      </c>
      <c r="S6" s="38"/>
      <c r="T6" s="39"/>
    </row>
    <row r="7" spans="1:21" s="40" customFormat="1" ht="18.75" x14ac:dyDescent="0.2">
      <c r="A7" s="26" t="s">
        <v>38</v>
      </c>
      <c r="B7" s="26">
        <v>44805</v>
      </c>
      <c r="C7" s="26">
        <v>44806</v>
      </c>
      <c r="D7" s="27">
        <v>0.83333333333333337</v>
      </c>
      <c r="E7" s="28" t="s">
        <v>39</v>
      </c>
      <c r="F7" s="29" t="s">
        <v>40</v>
      </c>
      <c r="G7" s="29" t="s">
        <v>41</v>
      </c>
      <c r="H7" s="30" t="s">
        <v>42</v>
      </c>
      <c r="I7" s="31" t="s">
        <v>28</v>
      </c>
      <c r="J7" s="32">
        <v>84550</v>
      </c>
      <c r="K7" s="42" t="s">
        <v>43</v>
      </c>
      <c r="L7" s="26" t="s">
        <v>29</v>
      </c>
      <c r="M7" s="34">
        <v>76500</v>
      </c>
      <c r="N7" s="34">
        <v>93500</v>
      </c>
      <c r="O7" s="34">
        <v>85000</v>
      </c>
      <c r="P7" s="144" t="s">
        <v>44</v>
      </c>
      <c r="Q7" s="145"/>
      <c r="R7" s="37" t="s">
        <v>36</v>
      </c>
      <c r="S7" s="38"/>
      <c r="T7" s="39"/>
    </row>
    <row r="8" spans="1:21" s="40" customFormat="1" ht="19.5" customHeight="1" x14ac:dyDescent="0.2">
      <c r="A8" s="26" t="s">
        <v>45</v>
      </c>
      <c r="B8" s="26">
        <v>44805</v>
      </c>
      <c r="C8" s="26">
        <v>44806</v>
      </c>
      <c r="D8" s="27">
        <v>0.69236111111111109</v>
      </c>
      <c r="E8" s="28" t="s">
        <v>46</v>
      </c>
      <c r="F8" s="29" t="s">
        <v>47</v>
      </c>
      <c r="G8" s="29" t="s">
        <v>48</v>
      </c>
      <c r="H8" s="30" t="s">
        <v>49</v>
      </c>
      <c r="I8" s="28" t="s">
        <v>36</v>
      </c>
      <c r="J8" s="32">
        <v>55000</v>
      </c>
      <c r="K8" s="33"/>
      <c r="L8" s="26" t="s">
        <v>29</v>
      </c>
      <c r="M8" s="34">
        <v>46800</v>
      </c>
      <c r="N8" s="43">
        <v>57200</v>
      </c>
      <c r="O8" s="43">
        <v>52000</v>
      </c>
      <c r="P8" s="35"/>
      <c r="Q8" s="36"/>
      <c r="R8" s="37" t="s">
        <v>36</v>
      </c>
      <c r="S8" s="39"/>
      <c r="T8" s="39"/>
      <c r="U8" s="39"/>
    </row>
    <row r="9" spans="1:21" s="40" customFormat="1" ht="18.75" x14ac:dyDescent="0.2">
      <c r="A9" s="26" t="s">
        <v>50</v>
      </c>
      <c r="B9" s="26">
        <v>44806</v>
      </c>
      <c r="C9" s="26">
        <v>44807</v>
      </c>
      <c r="D9" s="27">
        <v>0.57986111111111105</v>
      </c>
      <c r="E9" s="28" t="s">
        <v>51</v>
      </c>
      <c r="F9" s="29" t="s">
        <v>52</v>
      </c>
      <c r="G9" s="29" t="s">
        <v>35</v>
      </c>
      <c r="H9" s="30" t="s">
        <v>35</v>
      </c>
      <c r="I9" s="44" t="s">
        <v>53</v>
      </c>
      <c r="J9" s="32">
        <v>94000</v>
      </c>
      <c r="K9" s="33"/>
      <c r="L9" s="41" t="s">
        <v>37</v>
      </c>
      <c r="M9" s="34"/>
      <c r="N9" s="34"/>
      <c r="O9" s="34"/>
      <c r="P9" s="146" t="s">
        <v>54</v>
      </c>
      <c r="Q9" s="147"/>
      <c r="R9" s="37" t="s">
        <v>36</v>
      </c>
      <c r="S9" s="38"/>
      <c r="T9" s="39"/>
    </row>
    <row r="10" spans="1:21" ht="18.75" x14ac:dyDescent="0.2">
      <c r="A10" s="26" t="s">
        <v>55</v>
      </c>
      <c r="B10" s="26">
        <v>44806</v>
      </c>
      <c r="C10" s="26">
        <v>44807</v>
      </c>
      <c r="D10" s="27">
        <v>0.875</v>
      </c>
      <c r="E10" s="28" t="s">
        <v>56</v>
      </c>
      <c r="F10" s="29" t="s">
        <v>57</v>
      </c>
      <c r="G10" s="28" t="s">
        <v>58</v>
      </c>
      <c r="H10" s="30" t="s">
        <v>59</v>
      </c>
      <c r="I10" s="31" t="s">
        <v>36</v>
      </c>
      <c r="J10" s="32">
        <v>40400</v>
      </c>
      <c r="K10" s="33"/>
      <c r="L10" s="26" t="s">
        <v>29</v>
      </c>
      <c r="M10" s="34">
        <v>36000</v>
      </c>
      <c r="N10" s="34">
        <v>44000</v>
      </c>
      <c r="O10" s="34">
        <v>40000</v>
      </c>
      <c r="P10" s="35"/>
      <c r="Q10" s="45"/>
      <c r="R10" s="46" t="s">
        <v>36</v>
      </c>
    </row>
    <row r="11" spans="1:21" ht="18.75" x14ac:dyDescent="0.2">
      <c r="A11" s="26" t="s">
        <v>60</v>
      </c>
      <c r="B11" s="26">
        <v>44806</v>
      </c>
      <c r="C11" s="26">
        <v>44807</v>
      </c>
      <c r="D11" s="27">
        <v>0.875</v>
      </c>
      <c r="E11" s="47" t="s">
        <v>56</v>
      </c>
      <c r="F11" s="29" t="s">
        <v>61</v>
      </c>
      <c r="G11" s="28" t="s">
        <v>58</v>
      </c>
      <c r="H11" s="30" t="s">
        <v>59</v>
      </c>
      <c r="I11" s="31" t="s">
        <v>36</v>
      </c>
      <c r="J11" s="32">
        <v>21070</v>
      </c>
      <c r="K11" s="33"/>
      <c r="L11" s="26" t="s">
        <v>29</v>
      </c>
      <c r="M11" s="34">
        <v>18000</v>
      </c>
      <c r="N11" s="34">
        <v>22000</v>
      </c>
      <c r="O11" s="34">
        <v>20000</v>
      </c>
      <c r="P11" s="35"/>
      <c r="Q11" s="45"/>
      <c r="R11" s="46" t="s">
        <v>36</v>
      </c>
    </row>
    <row r="12" spans="1:21" s="40" customFormat="1" ht="19.5" customHeight="1" x14ac:dyDescent="0.2">
      <c r="A12" s="26" t="s">
        <v>62</v>
      </c>
      <c r="B12" s="26">
        <v>44809</v>
      </c>
      <c r="C12" s="26">
        <v>44810</v>
      </c>
      <c r="D12" s="27">
        <v>0.5</v>
      </c>
      <c r="E12" s="28" t="s">
        <v>63</v>
      </c>
      <c r="F12" s="29" t="s">
        <v>25</v>
      </c>
      <c r="G12" s="29" t="s">
        <v>26</v>
      </c>
      <c r="H12" s="30" t="s">
        <v>27</v>
      </c>
      <c r="I12" s="28" t="s">
        <v>28</v>
      </c>
      <c r="J12" s="32">
        <v>90804</v>
      </c>
      <c r="K12" s="33"/>
      <c r="L12" s="26" t="s">
        <v>29</v>
      </c>
      <c r="M12" s="34">
        <v>76500</v>
      </c>
      <c r="N12" s="43">
        <v>93500</v>
      </c>
      <c r="O12" s="43">
        <v>90804</v>
      </c>
      <c r="P12" s="35"/>
      <c r="Q12" s="36"/>
      <c r="R12" s="37" t="s">
        <v>59</v>
      </c>
      <c r="S12" s="39"/>
      <c r="T12" s="39"/>
      <c r="U12" s="39"/>
    </row>
    <row r="13" spans="1:21" ht="18.75" x14ac:dyDescent="0.2">
      <c r="A13" s="26" t="s">
        <v>64</v>
      </c>
      <c r="B13" s="26">
        <v>44809</v>
      </c>
      <c r="C13" s="26">
        <v>44810</v>
      </c>
      <c r="D13" s="27">
        <v>0.76527777777777783</v>
      </c>
      <c r="E13" s="28" t="s">
        <v>65</v>
      </c>
      <c r="F13" s="29" t="s">
        <v>66</v>
      </c>
      <c r="G13" s="29" t="s">
        <v>41</v>
      </c>
      <c r="H13" s="30" t="s">
        <v>67</v>
      </c>
      <c r="I13" s="31" t="s">
        <v>28</v>
      </c>
      <c r="J13" s="32">
        <v>49360</v>
      </c>
      <c r="K13" s="42" t="s">
        <v>68</v>
      </c>
      <c r="L13" s="26" t="s">
        <v>69</v>
      </c>
      <c r="M13" s="34">
        <v>40500</v>
      </c>
      <c r="N13" s="34">
        <v>49500</v>
      </c>
      <c r="O13" s="34">
        <v>45000</v>
      </c>
      <c r="P13" s="144" t="s">
        <v>70</v>
      </c>
      <c r="Q13" s="145"/>
      <c r="R13" s="37" t="s">
        <v>36</v>
      </c>
    </row>
    <row r="14" spans="1:21" ht="18.75" x14ac:dyDescent="0.2">
      <c r="A14" s="26" t="s">
        <v>71</v>
      </c>
      <c r="B14" s="26">
        <v>44810</v>
      </c>
      <c r="C14" s="26">
        <v>44810</v>
      </c>
      <c r="D14" s="27">
        <v>1.7361111111111112E-2</v>
      </c>
      <c r="E14" s="28" t="s">
        <v>72</v>
      </c>
      <c r="F14" s="29" t="s">
        <v>73</v>
      </c>
      <c r="G14" s="28" t="s">
        <v>34</v>
      </c>
      <c r="H14" s="30" t="s">
        <v>74</v>
      </c>
      <c r="I14" s="31" t="s">
        <v>36</v>
      </c>
      <c r="J14" s="32">
        <v>99250</v>
      </c>
      <c r="K14" s="33"/>
      <c r="L14" s="26" t="s">
        <v>29</v>
      </c>
      <c r="M14" s="34">
        <v>87030</v>
      </c>
      <c r="N14" s="34">
        <v>106370</v>
      </c>
      <c r="O14" s="34">
        <v>96700</v>
      </c>
      <c r="P14" s="35"/>
      <c r="Q14" s="45"/>
      <c r="R14" s="46" t="s">
        <v>36</v>
      </c>
    </row>
    <row r="15" spans="1:21" ht="18.75" x14ac:dyDescent="0.2">
      <c r="A15" s="26" t="s">
        <v>75</v>
      </c>
      <c r="B15" s="26">
        <v>44810</v>
      </c>
      <c r="C15" s="26">
        <v>44811</v>
      </c>
      <c r="D15" s="27">
        <v>0.57986111111111105</v>
      </c>
      <c r="E15" s="28" t="s">
        <v>76</v>
      </c>
      <c r="F15" s="29" t="s">
        <v>77</v>
      </c>
      <c r="G15" s="28" t="s">
        <v>34</v>
      </c>
      <c r="H15" s="30" t="s">
        <v>78</v>
      </c>
      <c r="I15" s="31" t="s">
        <v>36</v>
      </c>
      <c r="J15" s="32">
        <v>80459</v>
      </c>
      <c r="K15" s="33"/>
      <c r="L15" s="41" t="s">
        <v>37</v>
      </c>
      <c r="M15" s="34">
        <v>67500</v>
      </c>
      <c r="N15" s="34">
        <v>82500</v>
      </c>
      <c r="O15" s="34">
        <v>75000</v>
      </c>
      <c r="P15" s="35"/>
      <c r="Q15" s="45"/>
      <c r="R15" s="46" t="s">
        <v>36</v>
      </c>
    </row>
    <row r="16" spans="1:21" s="40" customFormat="1" ht="18.75" x14ac:dyDescent="0.2">
      <c r="A16" s="26" t="s">
        <v>79</v>
      </c>
      <c r="B16" s="26">
        <v>44810</v>
      </c>
      <c r="C16" s="26">
        <v>44811</v>
      </c>
      <c r="D16" s="27">
        <v>0.7909722222222223</v>
      </c>
      <c r="E16" s="28" t="s">
        <v>80</v>
      </c>
      <c r="F16" s="29" t="s">
        <v>81</v>
      </c>
      <c r="G16" s="29" t="s">
        <v>82</v>
      </c>
      <c r="H16" s="30" t="s">
        <v>83</v>
      </c>
      <c r="I16" s="44" t="s">
        <v>53</v>
      </c>
      <c r="J16" s="32">
        <v>35372</v>
      </c>
      <c r="K16" s="33"/>
      <c r="L16" s="41" t="s">
        <v>37</v>
      </c>
      <c r="M16" s="34">
        <v>31500</v>
      </c>
      <c r="N16" s="34">
        <v>38500</v>
      </c>
      <c r="O16" s="34">
        <v>35000</v>
      </c>
      <c r="P16" s="146" t="s">
        <v>54</v>
      </c>
      <c r="Q16" s="147"/>
      <c r="R16" s="37" t="s">
        <v>36</v>
      </c>
      <c r="S16" s="38"/>
      <c r="T16" s="39"/>
    </row>
    <row r="17" spans="1:21" s="40" customFormat="1" ht="18.75" x14ac:dyDescent="0.2">
      <c r="A17" s="26" t="s">
        <v>84</v>
      </c>
      <c r="B17" s="26">
        <v>44811</v>
      </c>
      <c r="C17" s="26">
        <v>44811</v>
      </c>
      <c r="D17" s="27">
        <v>0.19999999999999998</v>
      </c>
      <c r="E17" s="28" t="s">
        <v>85</v>
      </c>
      <c r="F17" s="29" t="s">
        <v>86</v>
      </c>
      <c r="G17" s="28" t="s">
        <v>26</v>
      </c>
      <c r="H17" s="30" t="s">
        <v>87</v>
      </c>
      <c r="I17" s="31" t="s">
        <v>28</v>
      </c>
      <c r="J17" s="32">
        <v>87366</v>
      </c>
      <c r="K17" s="33"/>
      <c r="L17" s="26" t="s">
        <v>29</v>
      </c>
      <c r="M17" s="34">
        <v>73350</v>
      </c>
      <c r="N17" s="34">
        <v>89650</v>
      </c>
      <c r="O17" s="34">
        <v>81500</v>
      </c>
      <c r="P17" s="35"/>
      <c r="Q17" s="48"/>
      <c r="R17" s="46" t="s">
        <v>59</v>
      </c>
    </row>
    <row r="18" spans="1:21" ht="18.75" x14ac:dyDescent="0.2">
      <c r="A18" s="26" t="s">
        <v>88</v>
      </c>
      <c r="B18" s="26">
        <v>44812</v>
      </c>
      <c r="C18" s="26">
        <v>44812</v>
      </c>
      <c r="D18" s="27">
        <v>0.99791666666666667</v>
      </c>
      <c r="E18" s="28" t="s">
        <v>89</v>
      </c>
      <c r="F18" s="29" t="s">
        <v>90</v>
      </c>
      <c r="G18" s="29" t="s">
        <v>41</v>
      </c>
      <c r="H18" s="30" t="s">
        <v>91</v>
      </c>
      <c r="I18" s="31" t="s">
        <v>28</v>
      </c>
      <c r="J18" s="32">
        <v>76860</v>
      </c>
      <c r="K18" s="42" t="s">
        <v>92</v>
      </c>
      <c r="L18" s="26" t="s">
        <v>29</v>
      </c>
      <c r="M18" s="34">
        <v>72900</v>
      </c>
      <c r="N18" s="34">
        <v>89100</v>
      </c>
      <c r="O18" s="34">
        <v>81000</v>
      </c>
      <c r="P18" s="144" t="s">
        <v>93</v>
      </c>
      <c r="Q18" s="145"/>
      <c r="R18" s="37" t="s">
        <v>36</v>
      </c>
    </row>
    <row r="19" spans="1:21" ht="18.75" x14ac:dyDescent="0.2">
      <c r="A19" s="26" t="s">
        <v>94</v>
      </c>
      <c r="B19" s="26">
        <v>44812</v>
      </c>
      <c r="C19" s="26">
        <v>44813</v>
      </c>
      <c r="D19" s="27">
        <v>0.4201388888888889</v>
      </c>
      <c r="E19" s="28" t="s">
        <v>95</v>
      </c>
      <c r="F19" s="29" t="s">
        <v>96</v>
      </c>
      <c r="G19" s="29" t="s">
        <v>26</v>
      </c>
      <c r="H19" s="30" t="s">
        <v>42</v>
      </c>
      <c r="I19" s="31" t="s">
        <v>28</v>
      </c>
      <c r="J19" s="32">
        <v>35200</v>
      </c>
      <c r="K19" s="33"/>
      <c r="L19" s="26" t="s">
        <v>29</v>
      </c>
      <c r="M19" s="34">
        <v>28800</v>
      </c>
      <c r="N19" s="34">
        <v>35200</v>
      </c>
      <c r="O19" s="34">
        <v>32000</v>
      </c>
      <c r="P19" s="49"/>
      <c r="Q19" s="36"/>
      <c r="R19" s="37" t="s">
        <v>59</v>
      </c>
    </row>
    <row r="20" spans="1:21" ht="18.75" x14ac:dyDescent="0.2">
      <c r="A20" s="26" t="s">
        <v>97</v>
      </c>
      <c r="B20" s="26">
        <v>44812</v>
      </c>
      <c r="C20" s="26">
        <v>44813</v>
      </c>
      <c r="D20" s="27">
        <v>0.42013888888888901</v>
      </c>
      <c r="E20" s="28" t="s">
        <v>95</v>
      </c>
      <c r="F20" s="29" t="s">
        <v>98</v>
      </c>
      <c r="G20" s="29" t="s">
        <v>26</v>
      </c>
      <c r="H20" s="30" t="s">
        <v>99</v>
      </c>
      <c r="I20" s="31" t="s">
        <v>28</v>
      </c>
      <c r="J20" s="32">
        <v>37679</v>
      </c>
      <c r="K20" s="33"/>
      <c r="L20" s="26" t="s">
        <v>29</v>
      </c>
      <c r="M20" s="34">
        <v>31500</v>
      </c>
      <c r="N20" s="34">
        <v>38500</v>
      </c>
      <c r="O20" s="34">
        <v>35000</v>
      </c>
      <c r="P20" s="49"/>
      <c r="Q20" s="36"/>
      <c r="R20" s="37" t="s">
        <v>59</v>
      </c>
    </row>
    <row r="21" spans="1:21" s="40" customFormat="1" ht="18.75" x14ac:dyDescent="0.2">
      <c r="A21" s="26" t="s">
        <v>100</v>
      </c>
      <c r="B21" s="26">
        <v>44812</v>
      </c>
      <c r="C21" s="26">
        <v>44813</v>
      </c>
      <c r="D21" s="27">
        <v>0.92013888888888884</v>
      </c>
      <c r="E21" s="28" t="s">
        <v>101</v>
      </c>
      <c r="F21" s="29" t="s">
        <v>61</v>
      </c>
      <c r="G21" s="29" t="s">
        <v>58</v>
      </c>
      <c r="H21" s="30" t="s">
        <v>102</v>
      </c>
      <c r="I21" s="28" t="s">
        <v>36</v>
      </c>
      <c r="J21" s="32">
        <v>70900</v>
      </c>
      <c r="K21" s="33"/>
      <c r="L21" s="41" t="s">
        <v>37</v>
      </c>
      <c r="M21" s="34">
        <v>63000</v>
      </c>
      <c r="N21" s="34">
        <v>77000</v>
      </c>
      <c r="O21" s="34">
        <v>70000</v>
      </c>
      <c r="P21" s="35"/>
      <c r="Q21" s="36"/>
      <c r="R21" s="37" t="s">
        <v>36</v>
      </c>
    </row>
    <row r="22" spans="1:21" s="40" customFormat="1" ht="18.75" x14ac:dyDescent="0.2">
      <c r="A22" s="26" t="s">
        <v>103</v>
      </c>
      <c r="B22" s="26">
        <v>44814</v>
      </c>
      <c r="C22" s="26">
        <v>44814</v>
      </c>
      <c r="D22" s="27">
        <v>3.125E-2</v>
      </c>
      <c r="E22" s="28" t="s">
        <v>104</v>
      </c>
      <c r="F22" s="29" t="s">
        <v>73</v>
      </c>
      <c r="G22" s="29" t="s">
        <v>34</v>
      </c>
      <c r="H22" s="30" t="s">
        <v>74</v>
      </c>
      <c r="I22" s="31" t="s">
        <v>36</v>
      </c>
      <c r="J22" s="32">
        <v>102860</v>
      </c>
      <c r="K22" s="33"/>
      <c r="L22" s="26" t="s">
        <v>29</v>
      </c>
      <c r="M22" s="34">
        <v>87840</v>
      </c>
      <c r="N22" s="34">
        <v>107360</v>
      </c>
      <c r="O22" s="34">
        <v>97600</v>
      </c>
      <c r="P22" s="49"/>
      <c r="Q22" s="36"/>
      <c r="R22" s="37" t="s">
        <v>36</v>
      </c>
      <c r="S22" s="38"/>
      <c r="T22" s="39"/>
    </row>
    <row r="23" spans="1:21" s="50" customFormat="1" ht="19.5" customHeight="1" x14ac:dyDescent="0.2">
      <c r="A23" s="26" t="s">
        <v>105</v>
      </c>
      <c r="B23" s="26">
        <v>44814</v>
      </c>
      <c r="C23" s="26">
        <v>44814</v>
      </c>
      <c r="D23" s="27">
        <v>0.57986111111111105</v>
      </c>
      <c r="E23" s="28" t="s">
        <v>106</v>
      </c>
      <c r="F23" s="29" t="s">
        <v>61</v>
      </c>
      <c r="G23" s="29" t="s">
        <v>58</v>
      </c>
      <c r="H23" s="30" t="s">
        <v>107</v>
      </c>
      <c r="I23" s="31" t="s">
        <v>36</v>
      </c>
      <c r="J23" s="32">
        <v>66000</v>
      </c>
      <c r="K23" s="33"/>
      <c r="L23" s="41" t="s">
        <v>37</v>
      </c>
      <c r="M23" s="34">
        <v>54000</v>
      </c>
      <c r="N23" s="34">
        <v>66000</v>
      </c>
      <c r="O23" s="34">
        <v>60000</v>
      </c>
      <c r="P23" s="49"/>
      <c r="Q23" s="36"/>
      <c r="R23" s="37" t="s">
        <v>36</v>
      </c>
      <c r="S23" s="38"/>
      <c r="T23" s="39"/>
      <c r="U23" s="39"/>
    </row>
    <row r="24" spans="1:21" ht="18.75" x14ac:dyDescent="0.2">
      <c r="A24" s="26" t="s">
        <v>108</v>
      </c>
      <c r="B24" s="26">
        <v>44815</v>
      </c>
      <c r="C24" s="26">
        <v>44815</v>
      </c>
      <c r="D24" s="27">
        <v>0.1111111111111111</v>
      </c>
      <c r="E24" s="28" t="s">
        <v>109</v>
      </c>
      <c r="F24" s="29" t="s">
        <v>81</v>
      </c>
      <c r="G24" s="29" t="s">
        <v>82</v>
      </c>
      <c r="H24" s="30" t="s">
        <v>35</v>
      </c>
      <c r="I24" s="44" t="s">
        <v>53</v>
      </c>
      <c r="J24" s="32">
        <v>69800</v>
      </c>
      <c r="K24" s="33"/>
      <c r="L24" s="41" t="s">
        <v>37</v>
      </c>
      <c r="M24" s="34">
        <v>58500</v>
      </c>
      <c r="N24" s="34">
        <v>71500</v>
      </c>
      <c r="O24" s="34">
        <v>65000</v>
      </c>
      <c r="P24" s="49"/>
      <c r="Q24" s="36"/>
      <c r="R24" s="37" t="s">
        <v>36</v>
      </c>
    </row>
    <row r="25" spans="1:21" s="62" customFormat="1" ht="19.5" customHeight="1" x14ac:dyDescent="0.2">
      <c r="A25" s="51" t="s">
        <v>110</v>
      </c>
      <c r="B25" s="51">
        <v>44815</v>
      </c>
      <c r="C25" s="51">
        <v>44816</v>
      </c>
      <c r="D25" s="52">
        <v>0.53819444444444442</v>
      </c>
      <c r="E25" s="53" t="s">
        <v>111</v>
      </c>
      <c r="F25" s="54" t="s">
        <v>47</v>
      </c>
      <c r="G25" s="54" t="s">
        <v>112</v>
      </c>
      <c r="H25" s="55" t="s">
        <v>112</v>
      </c>
      <c r="I25" s="56" t="s">
        <v>36</v>
      </c>
      <c r="J25" s="57">
        <v>140850</v>
      </c>
      <c r="K25" s="58"/>
      <c r="L25" s="41" t="s">
        <v>37</v>
      </c>
      <c r="M25" s="151" t="s">
        <v>113</v>
      </c>
      <c r="N25" s="152"/>
      <c r="O25" s="152"/>
      <c r="P25" s="152"/>
      <c r="Q25" s="153"/>
      <c r="R25" s="59" t="s">
        <v>36</v>
      </c>
      <c r="S25" s="60" t="s">
        <v>114</v>
      </c>
      <c r="T25" s="61"/>
      <c r="U25" s="61"/>
    </row>
    <row r="26" spans="1:21" s="40" customFormat="1" ht="18.75" x14ac:dyDescent="0.2">
      <c r="A26" s="26" t="s">
        <v>115</v>
      </c>
      <c r="B26" s="26">
        <v>44816</v>
      </c>
      <c r="C26" s="26">
        <v>44817</v>
      </c>
      <c r="D26" s="27">
        <v>0.32013888888888892</v>
      </c>
      <c r="E26" s="28" t="s">
        <v>116</v>
      </c>
      <c r="F26" s="29" t="s">
        <v>52</v>
      </c>
      <c r="G26" s="29" t="s">
        <v>35</v>
      </c>
      <c r="H26" s="30" t="s">
        <v>35</v>
      </c>
      <c r="I26" s="44" t="s">
        <v>53</v>
      </c>
      <c r="J26" s="32">
        <v>99630</v>
      </c>
      <c r="K26" s="33"/>
      <c r="L26" s="41" t="s">
        <v>37</v>
      </c>
      <c r="M26" s="34"/>
      <c r="N26" s="34"/>
      <c r="O26" s="34"/>
      <c r="P26" s="146" t="s">
        <v>54</v>
      </c>
      <c r="Q26" s="147"/>
      <c r="R26" s="37" t="s">
        <v>36</v>
      </c>
    </row>
    <row r="27" spans="1:21" s="40" customFormat="1" ht="18.75" x14ac:dyDescent="0.2">
      <c r="A27" s="63" t="s">
        <v>117</v>
      </c>
      <c r="B27" s="63">
        <v>44818</v>
      </c>
      <c r="C27" s="63">
        <v>44818</v>
      </c>
      <c r="D27" s="64">
        <v>0.20833333333333334</v>
      </c>
      <c r="E27" s="65" t="s">
        <v>118</v>
      </c>
      <c r="F27" s="66" t="s">
        <v>81</v>
      </c>
      <c r="G27" s="66" t="s">
        <v>82</v>
      </c>
      <c r="H27" s="67" t="s">
        <v>119</v>
      </c>
      <c r="I27" s="44" t="s">
        <v>53</v>
      </c>
      <c r="J27" s="68">
        <v>88000</v>
      </c>
      <c r="K27" s="69"/>
      <c r="L27" s="41" t="s">
        <v>37</v>
      </c>
      <c r="M27" s="70">
        <v>72000</v>
      </c>
      <c r="N27" s="70">
        <v>88000</v>
      </c>
      <c r="O27" s="70">
        <v>80000</v>
      </c>
      <c r="P27" s="146" t="s">
        <v>54</v>
      </c>
      <c r="Q27" s="147"/>
      <c r="R27" s="71" t="s">
        <v>36</v>
      </c>
    </row>
    <row r="28" spans="1:21" s="40" customFormat="1" ht="18.75" x14ac:dyDescent="0.2">
      <c r="A28" s="63" t="s">
        <v>120</v>
      </c>
      <c r="B28" s="63">
        <v>44818</v>
      </c>
      <c r="C28" s="63">
        <v>44819</v>
      </c>
      <c r="D28" s="64">
        <v>0.33402777777777781</v>
      </c>
      <c r="E28" s="65" t="s">
        <v>121</v>
      </c>
      <c r="F28" s="66" t="s">
        <v>47</v>
      </c>
      <c r="G28" s="66" t="s">
        <v>48</v>
      </c>
      <c r="H28" s="67" t="s">
        <v>49</v>
      </c>
      <c r="I28" s="18" t="s">
        <v>36</v>
      </c>
      <c r="J28" s="68">
        <v>45500</v>
      </c>
      <c r="K28" s="69"/>
      <c r="L28" s="63" t="s">
        <v>29</v>
      </c>
      <c r="M28" s="70">
        <v>45000</v>
      </c>
      <c r="N28" s="70">
        <v>55000</v>
      </c>
      <c r="O28" s="70">
        <v>50000</v>
      </c>
      <c r="P28" s="72"/>
      <c r="Q28" s="73"/>
      <c r="R28" s="71" t="s">
        <v>36</v>
      </c>
      <c r="S28" s="38"/>
      <c r="T28" s="39"/>
    </row>
    <row r="29" spans="1:21" s="40" customFormat="1" ht="18.75" x14ac:dyDescent="0.2">
      <c r="A29" s="63" t="s">
        <v>122</v>
      </c>
      <c r="B29" s="63">
        <v>44818</v>
      </c>
      <c r="C29" s="63">
        <v>44819</v>
      </c>
      <c r="D29" s="64">
        <v>0.33402777777777798</v>
      </c>
      <c r="E29" s="65" t="s">
        <v>121</v>
      </c>
      <c r="F29" s="66" t="s">
        <v>73</v>
      </c>
      <c r="G29" s="66" t="s">
        <v>34</v>
      </c>
      <c r="H29" s="67" t="s">
        <v>49</v>
      </c>
      <c r="I29" s="18" t="s">
        <v>36</v>
      </c>
      <c r="J29" s="68">
        <v>30100</v>
      </c>
      <c r="K29" s="69"/>
      <c r="L29" s="63" t="s">
        <v>29</v>
      </c>
      <c r="M29" s="74">
        <v>30600</v>
      </c>
      <c r="N29" s="74">
        <v>37400</v>
      </c>
      <c r="O29" s="74">
        <v>34000</v>
      </c>
      <c r="P29" s="72"/>
      <c r="Q29" s="73"/>
      <c r="R29" s="71" t="s">
        <v>36</v>
      </c>
      <c r="S29" s="38"/>
      <c r="T29" s="39"/>
    </row>
    <row r="30" spans="1:21" s="50" customFormat="1" ht="18.600000000000001" customHeight="1" x14ac:dyDescent="0.2">
      <c r="A30" s="75" t="s">
        <v>123</v>
      </c>
      <c r="B30" s="63">
        <v>44819</v>
      </c>
      <c r="C30" s="63">
        <v>44820</v>
      </c>
      <c r="D30" s="64">
        <v>0.57291666666666663</v>
      </c>
      <c r="E30" s="65" t="s">
        <v>124</v>
      </c>
      <c r="F30" s="66" t="s">
        <v>125</v>
      </c>
      <c r="G30" s="66" t="s">
        <v>26</v>
      </c>
      <c r="H30" s="67" t="s">
        <v>27</v>
      </c>
      <c r="I30" s="18" t="s">
        <v>28</v>
      </c>
      <c r="J30" s="68">
        <v>71460</v>
      </c>
      <c r="K30" s="69"/>
      <c r="L30" s="63" t="s">
        <v>29</v>
      </c>
      <c r="M30" s="70">
        <v>70200</v>
      </c>
      <c r="N30" s="70">
        <v>85800</v>
      </c>
      <c r="O30" s="70">
        <v>78000</v>
      </c>
      <c r="P30" s="76"/>
      <c r="Q30" s="77"/>
      <c r="R30" s="71" t="s">
        <v>30</v>
      </c>
      <c r="S30" s="38"/>
      <c r="T30" s="39"/>
      <c r="U30" s="39"/>
    </row>
    <row r="31" spans="1:21" s="85" customFormat="1" ht="19.5" customHeight="1" x14ac:dyDescent="0.2">
      <c r="A31" s="78" t="s">
        <v>126</v>
      </c>
      <c r="B31" s="78">
        <v>44820</v>
      </c>
      <c r="C31" s="78">
        <v>44821</v>
      </c>
      <c r="D31" s="79">
        <v>0.22916666666666666</v>
      </c>
      <c r="E31" s="80" t="s">
        <v>127</v>
      </c>
      <c r="F31" s="81" t="s">
        <v>128</v>
      </c>
      <c r="G31" s="81" t="s">
        <v>129</v>
      </c>
      <c r="H31" s="81" t="s">
        <v>129</v>
      </c>
      <c r="I31" s="80" t="s">
        <v>130</v>
      </c>
      <c r="J31" s="82">
        <v>74250</v>
      </c>
      <c r="K31" s="83"/>
      <c r="L31" s="75" t="s">
        <v>131</v>
      </c>
      <c r="M31" s="154" t="s">
        <v>132</v>
      </c>
      <c r="N31" s="155"/>
      <c r="O31" s="155"/>
      <c r="P31" s="155"/>
      <c r="Q31" s="155"/>
      <c r="R31" s="156"/>
      <c r="S31" s="84" t="s">
        <v>133</v>
      </c>
      <c r="T31" s="84"/>
      <c r="U31" s="84"/>
    </row>
    <row r="32" spans="1:21" s="40" customFormat="1" ht="18.75" x14ac:dyDescent="0.2">
      <c r="A32" s="63" t="s">
        <v>134</v>
      </c>
      <c r="B32" s="63">
        <v>44820</v>
      </c>
      <c r="C32" s="63">
        <v>44822</v>
      </c>
      <c r="D32" s="64">
        <v>0.48958333333333331</v>
      </c>
      <c r="E32" s="65" t="s">
        <v>135</v>
      </c>
      <c r="F32" s="66" t="s">
        <v>90</v>
      </c>
      <c r="G32" s="66" t="s">
        <v>41</v>
      </c>
      <c r="H32" s="67" t="s">
        <v>91</v>
      </c>
      <c r="I32" s="65" t="s">
        <v>28</v>
      </c>
      <c r="J32" s="68">
        <v>19800</v>
      </c>
      <c r="K32" s="42" t="s">
        <v>136</v>
      </c>
      <c r="L32" s="63" t="s">
        <v>69</v>
      </c>
      <c r="M32" s="70">
        <v>16200</v>
      </c>
      <c r="N32" s="70">
        <v>19800</v>
      </c>
      <c r="O32" s="70">
        <v>18000</v>
      </c>
      <c r="P32" s="144" t="s">
        <v>137</v>
      </c>
      <c r="Q32" s="145"/>
      <c r="R32" s="71" t="s">
        <v>36</v>
      </c>
    </row>
    <row r="33" spans="1:21" s="40" customFormat="1" ht="18.75" x14ac:dyDescent="0.25">
      <c r="A33" s="75"/>
      <c r="B33" s="63">
        <v>44820</v>
      </c>
      <c r="C33" s="63">
        <v>44821</v>
      </c>
      <c r="D33" s="64">
        <v>0.69791666666666663</v>
      </c>
      <c r="E33" s="65" t="s">
        <v>138</v>
      </c>
      <c r="F33" s="66" t="s">
        <v>125</v>
      </c>
      <c r="G33" s="66" t="s">
        <v>26</v>
      </c>
      <c r="H33" s="67" t="s">
        <v>139</v>
      </c>
      <c r="I33" s="18" t="s">
        <v>28</v>
      </c>
      <c r="J33" s="68">
        <v>54495</v>
      </c>
      <c r="K33" s="69"/>
      <c r="L33" s="63" t="s">
        <v>69</v>
      </c>
      <c r="M33" s="70">
        <v>45000</v>
      </c>
      <c r="N33" s="70">
        <v>55000</v>
      </c>
      <c r="O33" s="70">
        <v>54495</v>
      </c>
      <c r="P33" s="76"/>
      <c r="Q33" s="73"/>
      <c r="R33" s="71" t="s">
        <v>30</v>
      </c>
      <c r="S33" s="1"/>
    </row>
    <row r="34" spans="1:21" s="50" customFormat="1" ht="19.5" customHeight="1" x14ac:dyDescent="0.2">
      <c r="A34" s="75"/>
      <c r="B34" s="63">
        <v>44820</v>
      </c>
      <c r="C34" s="63">
        <v>44821</v>
      </c>
      <c r="D34" s="64">
        <v>0.79166666666666663</v>
      </c>
      <c r="E34" s="86" t="s">
        <v>140</v>
      </c>
      <c r="F34" s="66" t="s">
        <v>141</v>
      </c>
      <c r="G34" s="66" t="s">
        <v>82</v>
      </c>
      <c r="H34" s="67" t="s">
        <v>142</v>
      </c>
      <c r="I34" s="44" t="s">
        <v>53</v>
      </c>
      <c r="J34" s="68">
        <v>65003</v>
      </c>
      <c r="K34" s="69"/>
      <c r="L34" s="63" t="s">
        <v>29</v>
      </c>
      <c r="M34" s="70">
        <v>63000</v>
      </c>
      <c r="N34" s="70">
        <v>77000</v>
      </c>
      <c r="O34" s="70">
        <v>70000</v>
      </c>
      <c r="P34" s="87" t="s">
        <v>54</v>
      </c>
      <c r="Q34" s="88"/>
      <c r="R34" s="71"/>
      <c r="S34" s="38"/>
      <c r="T34" s="39"/>
      <c r="U34" s="39"/>
    </row>
    <row r="35" spans="1:21" s="50" customFormat="1" ht="19.5" customHeight="1" x14ac:dyDescent="0.2">
      <c r="A35" s="75"/>
      <c r="B35" s="63">
        <v>44820</v>
      </c>
      <c r="C35" s="63">
        <v>44821</v>
      </c>
      <c r="D35" s="64">
        <v>0.79166666666666696</v>
      </c>
      <c r="E35" s="86" t="s">
        <v>140</v>
      </c>
      <c r="F35" s="66" t="s">
        <v>77</v>
      </c>
      <c r="G35" s="66" t="s">
        <v>34</v>
      </c>
      <c r="H35" s="67"/>
      <c r="I35" s="18" t="s">
        <v>36</v>
      </c>
      <c r="J35" s="68">
        <v>37030</v>
      </c>
      <c r="K35" s="69"/>
      <c r="L35" s="63" t="s">
        <v>29</v>
      </c>
      <c r="M35" s="70"/>
      <c r="N35" s="70"/>
      <c r="O35" s="70"/>
      <c r="P35" s="76"/>
      <c r="Q35" s="77"/>
      <c r="R35" s="71"/>
      <c r="S35" s="38"/>
      <c r="T35" s="39"/>
      <c r="U35" s="39"/>
    </row>
    <row r="36" spans="1:21" s="50" customFormat="1" ht="19.5" customHeight="1" x14ac:dyDescent="0.2">
      <c r="A36" s="75" t="s">
        <v>143</v>
      </c>
      <c r="B36" s="63">
        <v>44820</v>
      </c>
      <c r="C36" s="63">
        <v>44821</v>
      </c>
      <c r="D36" s="64">
        <v>0.79166666666666696</v>
      </c>
      <c r="E36" s="65" t="s">
        <v>140</v>
      </c>
      <c r="F36" s="66" t="s">
        <v>144</v>
      </c>
      <c r="G36" s="66" t="s">
        <v>41</v>
      </c>
      <c r="H36" s="67" t="s">
        <v>142</v>
      </c>
      <c r="I36" s="18" t="s">
        <v>28</v>
      </c>
      <c r="J36" s="68">
        <v>36600</v>
      </c>
      <c r="K36" s="42" t="s">
        <v>145</v>
      </c>
      <c r="L36" s="63" t="s">
        <v>29</v>
      </c>
      <c r="M36" s="76">
        <v>36000</v>
      </c>
      <c r="N36" s="89">
        <v>44000</v>
      </c>
      <c r="O36" s="90">
        <v>40000</v>
      </c>
      <c r="P36" s="144" t="s">
        <v>146</v>
      </c>
      <c r="Q36" s="145"/>
      <c r="R36" s="71" t="s">
        <v>36</v>
      </c>
      <c r="S36" s="38"/>
      <c r="T36" s="39"/>
      <c r="U36" s="39"/>
    </row>
    <row r="37" spans="1:21" s="50" customFormat="1" ht="18.600000000000001" customHeight="1" x14ac:dyDescent="0.2">
      <c r="A37" s="75"/>
      <c r="B37" s="63">
        <v>44822</v>
      </c>
      <c r="C37" s="63">
        <v>44823</v>
      </c>
      <c r="D37" s="64">
        <v>0.33333333333333331</v>
      </c>
      <c r="E37" s="86" t="s">
        <v>147</v>
      </c>
      <c r="F37" s="66" t="s">
        <v>47</v>
      </c>
      <c r="G37" s="66" t="s">
        <v>48</v>
      </c>
      <c r="H37" s="67" t="s">
        <v>49</v>
      </c>
      <c r="I37" s="18" t="s">
        <v>36</v>
      </c>
      <c r="J37" s="68">
        <v>46800</v>
      </c>
      <c r="K37" s="69"/>
      <c r="L37" s="63" t="s">
        <v>29</v>
      </c>
      <c r="M37" s="70"/>
      <c r="N37" s="70"/>
      <c r="O37" s="70"/>
      <c r="P37" s="76"/>
      <c r="Q37" s="77"/>
      <c r="R37" s="71"/>
      <c r="S37" s="38"/>
      <c r="T37" s="39"/>
      <c r="U37" s="39"/>
    </row>
    <row r="38" spans="1:21" s="50" customFormat="1" ht="18.600000000000001" customHeight="1" x14ac:dyDescent="0.2">
      <c r="A38" s="75"/>
      <c r="B38" s="63">
        <v>44822</v>
      </c>
      <c r="C38" s="63">
        <v>44824</v>
      </c>
      <c r="D38" s="64">
        <v>0.92708333333333337</v>
      </c>
      <c r="E38" s="86" t="s">
        <v>148</v>
      </c>
      <c r="F38" s="66" t="s">
        <v>77</v>
      </c>
      <c r="G38" s="66" t="s">
        <v>34</v>
      </c>
      <c r="H38" s="67" t="s">
        <v>49</v>
      </c>
      <c r="I38" s="18" t="s">
        <v>36</v>
      </c>
      <c r="J38" s="68">
        <v>35460</v>
      </c>
      <c r="K38" s="69"/>
      <c r="L38" s="63" t="s">
        <v>29</v>
      </c>
      <c r="M38" s="70">
        <v>30600</v>
      </c>
      <c r="N38" s="70">
        <v>37400</v>
      </c>
      <c r="O38" s="70">
        <v>34000</v>
      </c>
      <c r="P38" s="76"/>
      <c r="Q38" s="77"/>
      <c r="R38" s="71"/>
      <c r="S38" s="38"/>
      <c r="T38" s="39"/>
      <c r="U38" s="39"/>
    </row>
    <row r="39" spans="1:21" s="85" customFormat="1" ht="19.5" customHeight="1" x14ac:dyDescent="0.2">
      <c r="A39" s="75"/>
      <c r="B39" s="78">
        <v>44822</v>
      </c>
      <c r="C39" s="78">
        <v>44823</v>
      </c>
      <c r="D39" s="79">
        <v>0.97916666666666663</v>
      </c>
      <c r="E39" s="86" t="s">
        <v>149</v>
      </c>
      <c r="F39" s="81" t="s">
        <v>150</v>
      </c>
      <c r="G39" s="81" t="s">
        <v>151</v>
      </c>
      <c r="H39" s="81" t="s">
        <v>152</v>
      </c>
      <c r="I39" s="80" t="s">
        <v>130</v>
      </c>
      <c r="J39" s="82">
        <v>66000</v>
      </c>
      <c r="K39" s="83"/>
      <c r="L39" s="75" t="s">
        <v>131</v>
      </c>
      <c r="M39" s="148" t="s">
        <v>153</v>
      </c>
      <c r="N39" s="149"/>
      <c r="O39" s="149"/>
      <c r="P39" s="149"/>
      <c r="Q39" s="149"/>
      <c r="R39" s="150"/>
      <c r="S39" s="84" t="s">
        <v>154</v>
      </c>
      <c r="T39" s="84"/>
      <c r="U39" s="84"/>
    </row>
    <row r="40" spans="1:21" s="40" customFormat="1" ht="18.75" x14ac:dyDescent="0.2">
      <c r="A40" s="75" t="s">
        <v>155</v>
      </c>
      <c r="B40" s="63">
        <v>44823</v>
      </c>
      <c r="C40" s="63">
        <v>44824</v>
      </c>
      <c r="D40" s="64">
        <v>0.78819444444444453</v>
      </c>
      <c r="E40" s="65" t="s">
        <v>156</v>
      </c>
      <c r="F40" s="66" t="s">
        <v>157</v>
      </c>
      <c r="G40" s="66" t="s">
        <v>41</v>
      </c>
      <c r="H40" s="67" t="s">
        <v>158</v>
      </c>
      <c r="I40" s="65" t="s">
        <v>36</v>
      </c>
      <c r="J40" s="68">
        <v>75628</v>
      </c>
      <c r="K40" s="42" t="s">
        <v>159</v>
      </c>
      <c r="L40" s="41" t="s">
        <v>37</v>
      </c>
      <c r="M40" s="70">
        <v>67500</v>
      </c>
      <c r="N40" s="70">
        <v>82500</v>
      </c>
      <c r="O40" s="91">
        <v>75000</v>
      </c>
      <c r="P40" s="144" t="s">
        <v>160</v>
      </c>
      <c r="Q40" s="145"/>
      <c r="R40" s="71" t="s">
        <v>36</v>
      </c>
    </row>
    <row r="41" spans="1:21" s="40" customFormat="1" ht="18.75" x14ac:dyDescent="0.2">
      <c r="A41" s="75" t="s">
        <v>161</v>
      </c>
      <c r="B41" s="63">
        <v>44823</v>
      </c>
      <c r="C41" s="63">
        <v>44825</v>
      </c>
      <c r="D41" s="64">
        <v>0.82291666666666663</v>
      </c>
      <c r="E41" s="65" t="s">
        <v>162</v>
      </c>
      <c r="F41" s="66" t="s">
        <v>66</v>
      </c>
      <c r="G41" s="66" t="s">
        <v>163</v>
      </c>
      <c r="H41" s="67" t="s">
        <v>67</v>
      </c>
      <c r="I41" s="18" t="s">
        <v>28</v>
      </c>
      <c r="J41" s="68">
        <v>19628</v>
      </c>
      <c r="K41" s="42" t="s">
        <v>164</v>
      </c>
      <c r="L41" s="63" t="s">
        <v>29</v>
      </c>
      <c r="M41" s="70">
        <v>16200</v>
      </c>
      <c r="N41" s="70">
        <v>19800</v>
      </c>
      <c r="O41" s="70">
        <v>18000</v>
      </c>
      <c r="P41" s="144" t="s">
        <v>165</v>
      </c>
      <c r="Q41" s="145"/>
      <c r="R41" s="71" t="s">
        <v>36</v>
      </c>
    </row>
    <row r="42" spans="1:21" s="40" customFormat="1" ht="18.75" x14ac:dyDescent="0.2">
      <c r="A42" s="63" t="s">
        <v>79</v>
      </c>
      <c r="B42" s="63">
        <v>44824</v>
      </c>
      <c r="C42" s="63">
        <v>44824</v>
      </c>
      <c r="D42" s="64">
        <v>9.0277777777777776E-2</v>
      </c>
      <c r="E42" s="65" t="s">
        <v>166</v>
      </c>
      <c r="F42" s="66" t="s">
        <v>52</v>
      </c>
      <c r="G42" s="66" t="s">
        <v>82</v>
      </c>
      <c r="H42" s="67" t="s">
        <v>102</v>
      </c>
      <c r="I42" s="44" t="s">
        <v>53</v>
      </c>
      <c r="J42" s="68">
        <v>77600</v>
      </c>
      <c r="K42" s="69"/>
      <c r="L42" s="41" t="s">
        <v>37</v>
      </c>
      <c r="M42" s="70">
        <v>63000</v>
      </c>
      <c r="N42" s="70">
        <v>77000</v>
      </c>
      <c r="O42" s="70">
        <v>70000</v>
      </c>
      <c r="P42" s="146" t="s">
        <v>54</v>
      </c>
      <c r="Q42" s="147"/>
      <c r="R42" s="71" t="s">
        <v>36</v>
      </c>
    </row>
    <row r="43" spans="1:21" s="50" customFormat="1" ht="18.600000000000001" customHeight="1" x14ac:dyDescent="0.2">
      <c r="A43" s="75"/>
      <c r="B43" s="63">
        <v>44824</v>
      </c>
      <c r="C43" s="63">
        <v>44824</v>
      </c>
      <c r="D43" s="64">
        <v>0.17708333333333334</v>
      </c>
      <c r="E43" s="86" t="s">
        <v>167</v>
      </c>
      <c r="F43" s="66" t="s">
        <v>168</v>
      </c>
      <c r="G43" s="66" t="s">
        <v>169</v>
      </c>
      <c r="H43" s="67" t="s">
        <v>59</v>
      </c>
      <c r="I43" s="18" t="s">
        <v>28</v>
      </c>
      <c r="J43" s="68">
        <v>87302</v>
      </c>
      <c r="K43" s="69"/>
      <c r="L43" s="63" t="s">
        <v>29</v>
      </c>
      <c r="M43" s="70">
        <v>73800</v>
      </c>
      <c r="N43" s="70">
        <v>90200</v>
      </c>
      <c r="O43" s="70">
        <v>82000</v>
      </c>
      <c r="P43" s="76"/>
      <c r="Q43" s="77"/>
      <c r="R43" s="71"/>
      <c r="S43" s="38"/>
      <c r="T43" s="39"/>
      <c r="U43" s="39"/>
    </row>
    <row r="44" spans="1:21" s="40" customFormat="1" ht="18.75" x14ac:dyDescent="0.2">
      <c r="A44" s="75"/>
      <c r="B44" s="63">
        <v>44824</v>
      </c>
      <c r="C44" s="63">
        <v>44824</v>
      </c>
      <c r="D44" s="64">
        <v>0.30208333333333331</v>
      </c>
      <c r="E44" s="86" t="s">
        <v>170</v>
      </c>
      <c r="F44" s="66" t="s">
        <v>47</v>
      </c>
      <c r="G44" s="66" t="s">
        <v>48</v>
      </c>
      <c r="H44" s="67" t="s">
        <v>171</v>
      </c>
      <c r="I44" s="65" t="s">
        <v>28</v>
      </c>
      <c r="J44" s="68">
        <v>66000</v>
      </c>
      <c r="K44" s="69"/>
      <c r="L44" s="63" t="s">
        <v>29</v>
      </c>
      <c r="M44" s="74">
        <v>67500</v>
      </c>
      <c r="N44" s="74">
        <v>82500</v>
      </c>
      <c r="O44" s="91">
        <v>75000</v>
      </c>
      <c r="P44" s="76"/>
      <c r="Q44" s="73"/>
      <c r="R44" s="71"/>
    </row>
    <row r="45" spans="1:21" ht="19.5" customHeight="1" x14ac:dyDescent="0.2">
      <c r="A45" s="75" t="s">
        <v>172</v>
      </c>
      <c r="B45" s="63">
        <v>44825</v>
      </c>
      <c r="C45" s="63">
        <v>44826</v>
      </c>
      <c r="D45" s="64">
        <v>0.79166666666666663</v>
      </c>
      <c r="E45" s="65" t="s">
        <v>173</v>
      </c>
      <c r="F45" s="66" t="s">
        <v>157</v>
      </c>
      <c r="G45" s="66" t="s">
        <v>41</v>
      </c>
      <c r="H45" s="67" t="s">
        <v>174</v>
      </c>
      <c r="I45" s="65" t="s">
        <v>28</v>
      </c>
      <c r="J45" s="68">
        <v>79927</v>
      </c>
      <c r="K45" s="42" t="s">
        <v>175</v>
      </c>
      <c r="L45" s="63" t="s">
        <v>29</v>
      </c>
      <c r="M45" s="70">
        <v>73800</v>
      </c>
      <c r="N45" s="70">
        <v>90200</v>
      </c>
      <c r="O45" s="70">
        <v>82000</v>
      </c>
      <c r="P45" s="144" t="s">
        <v>176</v>
      </c>
      <c r="Q45" s="145"/>
      <c r="R45" s="71" t="s">
        <v>36</v>
      </c>
    </row>
    <row r="46" spans="1:21" ht="18.75" x14ac:dyDescent="0.2">
      <c r="A46" s="75"/>
      <c r="B46" s="63">
        <v>44826</v>
      </c>
      <c r="C46" s="63">
        <v>44827</v>
      </c>
      <c r="D46" s="64">
        <v>0.53819444444444442</v>
      </c>
      <c r="E46" s="86" t="s">
        <v>177</v>
      </c>
      <c r="F46" s="66" t="s">
        <v>47</v>
      </c>
      <c r="G46" s="66" t="s">
        <v>48</v>
      </c>
      <c r="H46" s="67" t="s">
        <v>35</v>
      </c>
      <c r="I46" s="65" t="s">
        <v>28</v>
      </c>
      <c r="J46" s="68">
        <v>60700</v>
      </c>
      <c r="K46" s="69"/>
      <c r="L46" s="41" t="s">
        <v>37</v>
      </c>
      <c r="M46" s="70">
        <v>60300</v>
      </c>
      <c r="N46" s="70">
        <v>73700</v>
      </c>
      <c r="O46" s="70">
        <v>67000</v>
      </c>
      <c r="P46" s="76"/>
      <c r="Q46" s="73"/>
      <c r="R46" s="71"/>
    </row>
    <row r="47" spans="1:21" ht="18.75" x14ac:dyDescent="0.2">
      <c r="A47" s="75"/>
      <c r="B47" s="63">
        <v>44829</v>
      </c>
      <c r="C47" s="63">
        <v>44829</v>
      </c>
      <c r="D47" s="64">
        <v>3.8194444444444441E-2</v>
      </c>
      <c r="E47" s="86" t="s">
        <v>178</v>
      </c>
      <c r="F47" s="66" t="s">
        <v>33</v>
      </c>
      <c r="G47" s="66" t="s">
        <v>34</v>
      </c>
      <c r="H47" s="67" t="s">
        <v>179</v>
      </c>
      <c r="I47" s="65" t="s">
        <v>36</v>
      </c>
      <c r="J47" s="68">
        <v>70000</v>
      </c>
      <c r="K47" s="69"/>
      <c r="L47" s="41" t="s">
        <v>37</v>
      </c>
      <c r="M47" s="70">
        <v>63000</v>
      </c>
      <c r="N47" s="70">
        <v>77000</v>
      </c>
      <c r="O47" s="70">
        <v>70000</v>
      </c>
      <c r="P47" s="76"/>
      <c r="Q47" s="73"/>
      <c r="R47" s="71"/>
    </row>
    <row r="48" spans="1:21" s="50" customFormat="1" ht="18.600000000000001" customHeight="1" x14ac:dyDescent="0.2">
      <c r="A48" s="75"/>
      <c r="B48" s="63">
        <v>44829</v>
      </c>
      <c r="C48" s="63">
        <v>44830</v>
      </c>
      <c r="D48" s="64">
        <v>0.34375</v>
      </c>
      <c r="E48" s="86" t="s">
        <v>180</v>
      </c>
      <c r="F48" s="66" t="s">
        <v>77</v>
      </c>
      <c r="G48" s="66" t="s">
        <v>34</v>
      </c>
      <c r="H48" s="67"/>
      <c r="I48" s="18" t="s">
        <v>36</v>
      </c>
      <c r="J48" s="68">
        <v>34000</v>
      </c>
      <c r="K48" s="69"/>
      <c r="L48" s="63" t="s">
        <v>29</v>
      </c>
      <c r="M48" s="92"/>
      <c r="N48" s="93"/>
      <c r="O48" s="90"/>
      <c r="P48" s="76"/>
      <c r="Q48" s="77"/>
      <c r="R48" s="71"/>
      <c r="S48" s="38"/>
      <c r="T48" s="39"/>
      <c r="U48" s="39"/>
    </row>
    <row r="49" spans="1:21" s="50" customFormat="1" ht="18.600000000000001" customHeight="1" x14ac:dyDescent="0.2">
      <c r="A49" s="75"/>
      <c r="B49" s="63">
        <v>44829</v>
      </c>
      <c r="C49" s="63">
        <v>44830</v>
      </c>
      <c r="D49" s="64">
        <v>0.79166666666666663</v>
      </c>
      <c r="E49" s="86" t="s">
        <v>181</v>
      </c>
      <c r="F49" s="66" t="s">
        <v>77</v>
      </c>
      <c r="G49" s="66" t="s">
        <v>34</v>
      </c>
      <c r="H49" s="67"/>
      <c r="I49" s="65" t="s">
        <v>36</v>
      </c>
      <c r="J49" s="68">
        <v>34000</v>
      </c>
      <c r="K49" s="69"/>
      <c r="L49" s="63" t="s">
        <v>29</v>
      </c>
      <c r="M49" s="76"/>
      <c r="N49" s="89"/>
      <c r="O49" s="90"/>
      <c r="P49" s="76"/>
      <c r="Q49" s="94"/>
      <c r="R49" s="71"/>
      <c r="S49" s="38"/>
      <c r="T49" s="39"/>
      <c r="U49" s="39"/>
    </row>
    <row r="50" spans="1:21" s="50" customFormat="1" ht="18.600000000000001" customHeight="1" x14ac:dyDescent="0.2">
      <c r="A50" s="75"/>
      <c r="B50" s="63">
        <v>44829</v>
      </c>
      <c r="C50" s="63">
        <v>44830</v>
      </c>
      <c r="D50" s="64">
        <v>0.87152777777777779</v>
      </c>
      <c r="E50" s="86" t="s">
        <v>182</v>
      </c>
      <c r="F50" s="66" t="s">
        <v>57</v>
      </c>
      <c r="G50" s="66" t="s">
        <v>58</v>
      </c>
      <c r="H50" s="67" t="s">
        <v>102</v>
      </c>
      <c r="I50" s="18" t="s">
        <v>36</v>
      </c>
      <c r="J50" s="68">
        <v>77000</v>
      </c>
      <c r="K50" s="69"/>
      <c r="L50" s="41" t="s">
        <v>37</v>
      </c>
      <c r="M50" s="92">
        <v>63000</v>
      </c>
      <c r="N50" s="92">
        <v>77000</v>
      </c>
      <c r="O50" s="90">
        <v>70000</v>
      </c>
      <c r="P50" s="76"/>
      <c r="Q50" s="77"/>
      <c r="R50" s="71"/>
      <c r="S50" s="38"/>
      <c r="T50" s="39"/>
      <c r="U50" s="39"/>
    </row>
    <row r="51" spans="1:21" s="112" customFormat="1" ht="18.600000000000001" customHeight="1" x14ac:dyDescent="0.2">
      <c r="A51" s="75"/>
      <c r="B51" s="95">
        <v>44831</v>
      </c>
      <c r="C51" s="95">
        <v>44831</v>
      </c>
      <c r="D51" s="96">
        <v>0.22916666666666666</v>
      </c>
      <c r="E51" s="97" t="s">
        <v>183</v>
      </c>
      <c r="F51" s="98" t="s">
        <v>184</v>
      </c>
      <c r="G51" s="98" t="s">
        <v>185</v>
      </c>
      <c r="H51" s="99" t="s">
        <v>186</v>
      </c>
      <c r="I51" s="100" t="s">
        <v>36</v>
      </c>
      <c r="J51" s="101">
        <v>87901</v>
      </c>
      <c r="K51" s="102">
        <v>10792</v>
      </c>
      <c r="L51" s="103" t="s">
        <v>29</v>
      </c>
      <c r="M51" s="104"/>
      <c r="N51" s="105"/>
      <c r="O51" s="106"/>
      <c r="P51" s="107"/>
      <c r="Q51" s="108"/>
      <c r="R51" s="106" t="s">
        <v>30</v>
      </c>
      <c r="S51" s="109" t="s">
        <v>187</v>
      </c>
      <c r="T51" s="110"/>
      <c r="U51" s="111"/>
    </row>
    <row r="52" spans="1:21" s="116" customFormat="1" ht="18.75" x14ac:dyDescent="0.25">
      <c r="A52" s="75" t="s">
        <v>188</v>
      </c>
      <c r="B52" s="103">
        <v>44831</v>
      </c>
      <c r="C52" s="103">
        <v>44832</v>
      </c>
      <c r="D52" s="96">
        <v>0.4548611111111111</v>
      </c>
      <c r="E52" s="97" t="s">
        <v>189</v>
      </c>
      <c r="F52" s="98" t="s">
        <v>157</v>
      </c>
      <c r="G52" s="98" t="s">
        <v>41</v>
      </c>
      <c r="H52" s="99" t="s">
        <v>186</v>
      </c>
      <c r="I52" s="100" t="s">
        <v>36</v>
      </c>
      <c r="J52" s="101">
        <v>80000</v>
      </c>
      <c r="K52" s="42" t="s">
        <v>190</v>
      </c>
      <c r="L52" s="41" t="s">
        <v>37</v>
      </c>
      <c r="M52" s="113"/>
      <c r="N52" s="113"/>
      <c r="O52" s="113"/>
      <c r="P52" s="144" t="s">
        <v>191</v>
      </c>
      <c r="Q52" s="145"/>
      <c r="R52" s="106" t="s">
        <v>36</v>
      </c>
      <c r="S52" s="114" t="s">
        <v>192</v>
      </c>
      <c r="T52" s="115"/>
      <c r="U52" s="115"/>
    </row>
    <row r="53" spans="1:21" s="50" customFormat="1" ht="18.600000000000001" customHeight="1" x14ac:dyDescent="0.2">
      <c r="A53" s="75"/>
      <c r="B53" s="63">
        <v>44832</v>
      </c>
      <c r="C53" s="63">
        <v>44832</v>
      </c>
      <c r="D53" s="64">
        <v>6.25E-2</v>
      </c>
      <c r="E53" s="65" t="s">
        <v>193</v>
      </c>
      <c r="F53" s="66" t="s">
        <v>86</v>
      </c>
      <c r="G53" s="66" t="s">
        <v>26</v>
      </c>
      <c r="H53" s="67" t="s">
        <v>194</v>
      </c>
      <c r="I53" s="18" t="s">
        <v>28</v>
      </c>
      <c r="J53" s="68">
        <v>88000</v>
      </c>
      <c r="K53" s="69"/>
      <c r="L53" s="63" t="s">
        <v>29</v>
      </c>
      <c r="M53" s="92"/>
      <c r="N53" s="93"/>
      <c r="O53" s="90"/>
      <c r="P53" s="76"/>
      <c r="Q53" s="77"/>
      <c r="R53" s="71" t="s">
        <v>30</v>
      </c>
      <c r="S53" s="38"/>
      <c r="T53" s="39"/>
      <c r="U53" s="39"/>
    </row>
    <row r="54" spans="1:21" s="40" customFormat="1" ht="18.75" x14ac:dyDescent="0.25">
      <c r="A54" s="75"/>
      <c r="B54" s="63">
        <v>44832</v>
      </c>
      <c r="C54" s="63">
        <v>44833</v>
      </c>
      <c r="D54" s="64">
        <v>0.69930555555555562</v>
      </c>
      <c r="E54" s="86" t="s">
        <v>195</v>
      </c>
      <c r="F54" s="66" t="s">
        <v>81</v>
      </c>
      <c r="G54" s="66" t="s">
        <v>82</v>
      </c>
      <c r="H54" s="67"/>
      <c r="I54" s="44" t="s">
        <v>53</v>
      </c>
      <c r="J54" s="68">
        <v>80000</v>
      </c>
      <c r="K54" s="69"/>
      <c r="L54" s="41" t="s">
        <v>37</v>
      </c>
      <c r="M54" s="70"/>
      <c r="N54" s="70"/>
      <c r="O54" s="70"/>
      <c r="P54" s="146" t="s">
        <v>54</v>
      </c>
      <c r="Q54" s="147"/>
      <c r="R54" s="71"/>
      <c r="S54" s="1"/>
    </row>
    <row r="55" spans="1:21" s="40" customFormat="1" ht="18.75" x14ac:dyDescent="0.2">
      <c r="A55" s="75"/>
      <c r="B55" s="63">
        <v>44833</v>
      </c>
      <c r="C55" s="63">
        <v>44834</v>
      </c>
      <c r="D55" s="64">
        <v>0</v>
      </c>
      <c r="E55" s="86" t="s">
        <v>196</v>
      </c>
      <c r="F55" s="66" t="s">
        <v>73</v>
      </c>
      <c r="G55" s="66" t="s">
        <v>34</v>
      </c>
      <c r="H55" s="67"/>
      <c r="I55" s="65" t="s">
        <v>36</v>
      </c>
      <c r="J55" s="68">
        <v>34000</v>
      </c>
      <c r="K55" s="69"/>
      <c r="L55" s="63" t="s">
        <v>29</v>
      </c>
      <c r="M55" s="70"/>
      <c r="N55" s="70"/>
      <c r="O55" s="70"/>
      <c r="P55" s="76"/>
      <c r="Q55" s="94"/>
      <c r="R55" s="71"/>
    </row>
    <row r="56" spans="1:21" s="40" customFormat="1" ht="18.75" x14ac:dyDescent="0.2">
      <c r="A56" s="75"/>
      <c r="B56" s="63">
        <v>44833</v>
      </c>
      <c r="C56" s="63">
        <v>44834</v>
      </c>
      <c r="D56" s="64">
        <v>0</v>
      </c>
      <c r="E56" s="86" t="s">
        <v>196</v>
      </c>
      <c r="F56" s="66" t="s">
        <v>90</v>
      </c>
      <c r="G56" s="66" t="s">
        <v>41</v>
      </c>
      <c r="H56" s="67"/>
      <c r="I56" s="65"/>
      <c r="J56" s="68">
        <v>34400</v>
      </c>
      <c r="K56" s="42"/>
      <c r="L56" s="63" t="s">
        <v>29</v>
      </c>
      <c r="M56" s="70"/>
      <c r="N56" s="70"/>
      <c r="O56" s="70"/>
      <c r="P56" s="42"/>
      <c r="Q56" s="42"/>
      <c r="R56" s="71"/>
    </row>
    <row r="57" spans="1:21" s="40" customFormat="1" ht="18.75" x14ac:dyDescent="0.2">
      <c r="A57" s="75"/>
      <c r="B57" s="63">
        <v>44834</v>
      </c>
      <c r="C57" s="63">
        <v>44835</v>
      </c>
      <c r="D57" s="64">
        <v>0.25</v>
      </c>
      <c r="E57" s="86" t="s">
        <v>197</v>
      </c>
      <c r="F57" s="66" t="s">
        <v>73</v>
      </c>
      <c r="G57" s="66" t="s">
        <v>34</v>
      </c>
      <c r="H57" s="67"/>
      <c r="I57" s="65" t="s">
        <v>36</v>
      </c>
      <c r="J57" s="68">
        <v>20000</v>
      </c>
      <c r="K57" s="69"/>
      <c r="L57" s="63" t="s">
        <v>69</v>
      </c>
      <c r="M57" s="70"/>
      <c r="N57" s="70"/>
      <c r="O57" s="70"/>
      <c r="P57" s="76"/>
      <c r="Q57" s="94"/>
      <c r="R57" s="71"/>
    </row>
    <row r="58" spans="1:21" s="40" customFormat="1" ht="18.75" x14ac:dyDescent="0.2">
      <c r="A58" s="75"/>
      <c r="B58" s="63">
        <v>44834</v>
      </c>
      <c r="C58" s="63">
        <v>44835</v>
      </c>
      <c r="D58" s="64">
        <v>0.45069444444444445</v>
      </c>
      <c r="E58" s="86" t="s">
        <v>198</v>
      </c>
      <c r="F58" s="66" t="s">
        <v>33</v>
      </c>
      <c r="G58" s="66" t="s">
        <v>34</v>
      </c>
      <c r="H58" s="67"/>
      <c r="I58" s="65" t="s">
        <v>36</v>
      </c>
      <c r="J58" s="68">
        <v>81500</v>
      </c>
      <c r="K58" s="69"/>
      <c r="L58" s="41" t="s">
        <v>37</v>
      </c>
      <c r="M58" s="70"/>
      <c r="N58" s="70"/>
      <c r="O58" s="70"/>
      <c r="P58" s="76"/>
      <c r="Q58" s="94"/>
      <c r="R58" s="71"/>
    </row>
    <row r="59" spans="1:21" ht="19.5" thickBot="1" x14ac:dyDescent="0.25">
      <c r="A59" s="63"/>
      <c r="B59" s="63"/>
      <c r="C59" s="63"/>
      <c r="D59" s="64"/>
      <c r="E59" s="65"/>
      <c r="F59" s="66"/>
      <c r="G59" s="66"/>
      <c r="H59" s="67"/>
      <c r="I59" s="18"/>
      <c r="J59" s="68"/>
      <c r="K59" s="69"/>
      <c r="L59" s="63"/>
      <c r="M59" s="70"/>
      <c r="N59" s="70"/>
      <c r="O59" s="70"/>
      <c r="P59" s="76"/>
      <c r="Q59" s="94"/>
      <c r="R59" s="71"/>
    </row>
    <row r="60" spans="1:21" ht="19.5" thickBot="1" x14ac:dyDescent="0.25">
      <c r="A60" s="117"/>
      <c r="B60" s="117"/>
      <c r="C60" s="118"/>
      <c r="D60" s="118"/>
      <c r="E60" s="118"/>
      <c r="F60" s="118"/>
      <c r="G60" s="118"/>
      <c r="H60" s="118"/>
      <c r="I60" s="119"/>
      <c r="J60" s="120">
        <f>SUM(J4:J59)</f>
        <v>3470428</v>
      </c>
      <c r="K60" s="121"/>
      <c r="L60" s="117"/>
      <c r="M60" s="117"/>
      <c r="N60" s="117"/>
      <c r="O60" s="117"/>
      <c r="P60" s="122"/>
      <c r="Q60" s="117"/>
      <c r="R60" s="117"/>
    </row>
    <row r="61" spans="1:21" ht="18.75" x14ac:dyDescent="0.2">
      <c r="A61" s="123"/>
      <c r="B61" s="123"/>
      <c r="C61" s="124"/>
      <c r="D61" s="124"/>
      <c r="E61" s="124"/>
      <c r="F61" s="124"/>
      <c r="G61" s="124"/>
      <c r="H61" s="124"/>
      <c r="I61" s="125"/>
      <c r="J61" s="126"/>
      <c r="K61" s="127"/>
      <c r="L61" s="123"/>
      <c r="M61" s="123"/>
      <c r="N61" s="123"/>
      <c r="O61" s="123"/>
      <c r="P61" s="128"/>
      <c r="Q61" s="123"/>
      <c r="R61" s="123"/>
    </row>
    <row r="62" spans="1:21" ht="18.75" x14ac:dyDescent="0.2">
      <c r="A62" s="129"/>
      <c r="B62" s="130"/>
      <c r="C62" s="130"/>
      <c r="D62" s="130"/>
      <c r="E62" s="131"/>
      <c r="F62" s="131"/>
      <c r="G62" s="131"/>
      <c r="H62" s="131"/>
      <c r="I62" s="129"/>
      <c r="J62" s="129"/>
      <c r="K62" s="132"/>
      <c r="L62" s="133"/>
      <c r="M62" s="134"/>
      <c r="N62" s="134"/>
      <c r="O62" s="134"/>
      <c r="P62" s="133"/>
      <c r="Q62" s="133"/>
      <c r="R62" s="133"/>
    </row>
    <row r="63" spans="1:21" ht="18.75" x14ac:dyDescent="0.2">
      <c r="A63" s="135"/>
      <c r="B63" s="40"/>
      <c r="C63" s="136"/>
      <c r="D63" s="131"/>
      <c r="E63" s="137"/>
      <c r="F63" s="131"/>
      <c r="G63" s="131"/>
      <c r="H63" s="131"/>
      <c r="I63" s="129"/>
      <c r="J63" s="129"/>
      <c r="K63" s="132"/>
      <c r="L63" s="133"/>
      <c r="M63" s="134"/>
      <c r="N63" s="134"/>
      <c r="O63" s="134"/>
      <c r="P63" s="133"/>
      <c r="Q63" s="133"/>
      <c r="R63" s="133"/>
    </row>
    <row r="64" spans="1:21" ht="15" x14ac:dyDescent="0.2">
      <c r="A64" s="136"/>
      <c r="B64" s="131"/>
      <c r="C64" s="131"/>
      <c r="D64" s="138"/>
      <c r="E64" s="138"/>
      <c r="F64" s="138"/>
      <c r="G64" s="138"/>
      <c r="H64" s="129"/>
      <c r="I64" s="129" t="s">
        <v>199</v>
      </c>
      <c r="J64" s="139">
        <f>J60</f>
        <v>3470428</v>
      </c>
      <c r="K64" s="132"/>
      <c r="L64" s="129"/>
      <c r="M64" s="131"/>
      <c r="N64" s="131"/>
      <c r="O64" s="131"/>
      <c r="P64" s="129"/>
      <c r="Q64" s="129"/>
      <c r="R64" s="129"/>
    </row>
    <row r="65" spans="1:18" ht="15" x14ac:dyDescent="0.2">
      <c r="A65" s="131"/>
      <c r="B65" s="131"/>
      <c r="C65" s="131"/>
      <c r="D65" s="131"/>
      <c r="E65" s="131"/>
      <c r="F65" s="129"/>
      <c r="G65" s="129"/>
      <c r="H65" s="129"/>
      <c r="I65" s="129" t="s">
        <v>200</v>
      </c>
      <c r="J65" s="139">
        <f>COUNT(J4:J59)</f>
        <v>54</v>
      </c>
      <c r="K65" s="132"/>
      <c r="L65" s="129"/>
      <c r="M65" s="131"/>
      <c r="N65" s="131"/>
      <c r="O65" s="131"/>
      <c r="P65" s="129"/>
      <c r="Q65" s="129"/>
      <c r="R65" s="129"/>
    </row>
    <row r="66" spans="1:18" ht="18.75" x14ac:dyDescent="0.2">
      <c r="A66" s="131"/>
      <c r="B66" s="131"/>
      <c r="C66" s="135"/>
      <c r="D66" s="140"/>
      <c r="E66" s="137"/>
      <c r="F66" s="141"/>
      <c r="G66" s="137"/>
      <c r="H66" s="137"/>
      <c r="I66" s="137"/>
      <c r="J66" s="142"/>
      <c r="K66" s="128"/>
      <c r="L66" s="135"/>
      <c r="M66" s="135"/>
      <c r="N66" s="135"/>
      <c r="O66" s="135"/>
      <c r="P66" s="135"/>
      <c r="Q66" s="135"/>
      <c r="R66" s="135"/>
    </row>
    <row r="67" spans="1:18" ht="18.75" x14ac:dyDescent="0.2">
      <c r="A67" s="135"/>
      <c r="B67" s="131"/>
      <c r="C67" s="131"/>
      <c r="D67" s="131"/>
      <c r="E67" s="131"/>
      <c r="F67" s="129"/>
      <c r="G67" s="129"/>
      <c r="H67" s="129"/>
      <c r="I67" s="129"/>
      <c r="J67" s="139"/>
      <c r="K67" s="132"/>
      <c r="L67" s="129"/>
      <c r="M67" s="131"/>
      <c r="N67" s="131"/>
      <c r="O67" s="131"/>
      <c r="P67" s="129"/>
      <c r="Q67" s="129"/>
      <c r="R67" s="129"/>
    </row>
    <row r="68" spans="1:18" ht="18.75" x14ac:dyDescent="0.2">
      <c r="A68" s="131"/>
      <c r="B68" s="131"/>
      <c r="C68" s="135"/>
      <c r="D68" s="140"/>
      <c r="E68" s="137"/>
      <c r="F68" s="141"/>
      <c r="G68" s="137"/>
      <c r="H68" s="137"/>
      <c r="I68" s="137"/>
      <c r="J68" s="142"/>
      <c r="K68" s="128"/>
      <c r="L68" s="135"/>
      <c r="M68" s="135"/>
      <c r="N68" s="135"/>
      <c r="O68" s="135"/>
      <c r="P68" s="135"/>
      <c r="Q68" s="135"/>
      <c r="R68" s="135"/>
    </row>
    <row r="69" spans="1:18" ht="18.75" x14ac:dyDescent="0.2">
      <c r="A69" s="135"/>
      <c r="B69" s="131"/>
      <c r="C69" s="135"/>
      <c r="D69" s="140"/>
      <c r="E69" s="137"/>
      <c r="F69" s="141"/>
      <c r="G69" s="137"/>
      <c r="H69" s="137"/>
      <c r="I69" s="137"/>
      <c r="J69" s="142"/>
      <c r="K69" s="128"/>
      <c r="L69" s="135"/>
      <c r="M69" s="135"/>
      <c r="N69" s="135"/>
      <c r="O69" s="135"/>
      <c r="P69" s="135"/>
      <c r="Q69" s="135"/>
      <c r="R69" s="135"/>
    </row>
    <row r="70" spans="1:18" ht="18.75" x14ac:dyDescent="0.2">
      <c r="A70" s="135"/>
      <c r="B70" s="131"/>
      <c r="C70" s="135"/>
      <c r="D70" s="140"/>
      <c r="E70" s="137"/>
      <c r="F70" s="141"/>
      <c r="G70" s="137"/>
      <c r="H70" s="137"/>
      <c r="I70" s="137"/>
      <c r="J70" s="142"/>
      <c r="K70" s="128"/>
      <c r="L70" s="135"/>
      <c r="M70" s="135"/>
      <c r="N70" s="135"/>
      <c r="O70" s="135"/>
      <c r="P70" s="143"/>
      <c r="Q70" s="143"/>
      <c r="R70" s="143"/>
    </row>
    <row r="71" spans="1:18" ht="18.75" x14ac:dyDescent="0.2">
      <c r="A71" s="135"/>
      <c r="B71" s="131"/>
      <c r="C71" s="40"/>
    </row>
    <row r="72" spans="1:18" ht="15" x14ac:dyDescent="0.2">
      <c r="A72" s="40"/>
      <c r="B72" s="131"/>
      <c r="C72" s="40"/>
    </row>
    <row r="73" spans="1:18" ht="15" x14ac:dyDescent="0.2">
      <c r="A73" s="40"/>
      <c r="B73" s="131"/>
      <c r="C73" s="40"/>
    </row>
  </sheetData>
  <mergeCells count="21">
    <mergeCell ref="M31:R31"/>
    <mergeCell ref="M2:N2"/>
    <mergeCell ref="P2:Q2"/>
    <mergeCell ref="P3:Q3"/>
    <mergeCell ref="P7:Q7"/>
    <mergeCell ref="P9:Q9"/>
    <mergeCell ref="P13:Q13"/>
    <mergeCell ref="P16:Q16"/>
    <mergeCell ref="P18:Q18"/>
    <mergeCell ref="M25:Q25"/>
    <mergeCell ref="P26:Q26"/>
    <mergeCell ref="P27:Q27"/>
    <mergeCell ref="P45:Q45"/>
    <mergeCell ref="P52:Q52"/>
    <mergeCell ref="P54:Q54"/>
    <mergeCell ref="P32:Q32"/>
    <mergeCell ref="P36:Q36"/>
    <mergeCell ref="M39:R39"/>
    <mergeCell ref="P40:Q40"/>
    <mergeCell ref="P41:Q41"/>
    <mergeCell ref="P42:Q42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Sept 22</vt:lpstr>
    </vt:vector>
  </TitlesOfParts>
  <Company>Bureau Veritas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Plumridge</dc:creator>
  <cp:lastModifiedBy>Kim Plumridge</cp:lastModifiedBy>
  <dcterms:created xsi:type="dcterms:W3CDTF">2022-09-14T04:43:01Z</dcterms:created>
  <dcterms:modified xsi:type="dcterms:W3CDTF">2022-09-14T05:06:33Z</dcterms:modified>
</cp:coreProperties>
</file>